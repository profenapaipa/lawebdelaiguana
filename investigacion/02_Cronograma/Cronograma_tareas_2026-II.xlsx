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Cronograma" sheetId="2" state="visible" r:id="rId4"/>
    <sheet name="Resumen" sheetId="3" state="visible" r:id="rId5"/>
  </sheets>
  <definedNames>
    <definedName function="false" hidden="true" localSheetId="1" name="_xlnm._FilterDatabase" vbProcedure="false">Cronograma!$A$2:$L$39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<sst xmlns="http://schemas.openxmlformats.org/spreadsheetml/2006/main" count="91" uniqueCount="83">
  <si>
    <t xml:space="preserve">Cronograma de tareas del proyecto</t>
  </si>
  <si>
    <t xml:space="preserve">Lúdica Semillero de Tecnología Maker · 2026-II · va en la subcarpeta 02_Cronograma</t>
  </si>
  <si>
    <t xml:space="preserve">Antes de llenar esto</t>
  </si>
  <si>
    <t xml:space="preserve">Diligencien primero el Formato 1, que está en 04_Desarrollo. Sin saber qué necesitan y qué deben aprender, el cronograma queda en frases vagas del tipo "avanzar en el proyecto".</t>
  </si>
  <si>
    <t xml:space="preserve">Cómo se llena</t>
  </si>
  <si>
    <t xml:space="preserve">Le piden a la inteligencia artificial que descomponga el proyecto en tareas semanales, con el prompt que aparece en la guía de la sesión. Después revisan lo que devolvió y lo pasan a la hoja Cronograma. Cada semana tiene tres renglones para tareas: si les sobra, lo dejan vacío.</t>
  </si>
  <si>
    <t xml:space="preserve">Columnas azules</t>
  </si>
  <si>
    <t xml:space="preserve">Semana, fechas, sesión y fase ya vienen puestas. No se modifican.</t>
  </si>
  <si>
    <t xml:space="preserve">Columnas amarillas</t>
  </si>
  <si>
    <t xml:space="preserve">Tarea, responsable del equipo y entregable. Las llenan hoy, para todo el semestre.</t>
  </si>
  <si>
    <t xml:space="preserve">Columna verde</t>
  </si>
  <si>
    <t xml:space="preserve">Apoyo del docente. La llenan hoy con lo que van a necesitar de él y se confirma en clase. Si una tarea no necesita apoyo, se deja en Ninguno.</t>
  </si>
  <si>
    <t xml:space="preserve">Columnas de seguimiento</t>
  </si>
  <si>
    <t xml:space="preserve">Estado, % de avance, avance real y ajuste. Se llenan al terminar cada sesión, no al final del semestre. Toma dos minutos y hace parte de la evaluación del proceso.</t>
  </si>
  <si>
    <t xml:space="preserve">Sobre los responsables</t>
  </si>
  <si>
    <t xml:space="preserve">Escriban un solo nombre por tarea. Un responsable no hace la tarea solo: responde si no se hizo. Cuando cambie el reparto, lo actualizan aquí y en el Formato 2 de acuerdos.</t>
  </si>
  <si>
    <t xml:space="preserve">Hoja Resumen</t>
  </si>
  <si>
    <t xml:space="preserve">Se calcula sola. Muestra cuántas tareas lleva cada integrante y cuántas están terminadas.</t>
  </si>
  <si>
    <t xml:space="preserve">Las fechas provienen de la ruta del semestre entregada por el docente. La semana del 3 al 12 de octubre es receso escolar y no tiene sesión.</t>
  </si>
  <si>
    <t xml:space="preserve">Prompt para que la IA arme el borrador del cronograma</t>
  </si>
  <si>
    <t xml:space="preserve">Cópienlo desde la celda de abajo, reemplacen los corchetes y péguenlo en Claude o ChatGPT.</t>
  </si>
  <si>
    <t xml:space="preserve">Actúa como asesor de proyectos escolares.
NUESTRO PROYECTO
Solución: [describe la solución en tres frases].
Objetivos: [pega el objetivo general y los específicos].
Línea técnica: [3D / electrónica / software / multimedia].
Somos [1 a 4] integrantes: [nombre de cada uno y de qué frente responde].
Entregables que deben existir: [pega la parte A del Formato 1].
Recursos que nos faltan: [pega la parte B del Formato 1].
Habilidades que debemos aprender: [pega la parte C del Formato 1].
Nuestros acuerdos de trabajo: [pega lo esencial del Formato 2].
CALENDARIO, 90 minutos por sesión
5-6 ago, 12-13 ago, 19-20 ago, 26-27 ago, 2-3 sep, 9-10 sep, 16-17 sep,
23-24 sep, 30 sep-1 oct, receso escolar del 3 al 12 de oct,
14-15 oct, 21-22 oct, 28-29 oct muestra final.
PARA CADA SESIÓN DAME
- máximo tres tareas concretas que quepan en 90 minutos
- el nombre del integrante que responde por cada tarea
- el entregable que queda guardado en Drive al terminar
- qué necesitamos del docente, eligiendo entre: tutorial, revisión de avance,
  fecha de entrega, préstamo de equipo, gestión de espacio o permiso,
  apoyo de otro equipo, contacto con usuarios, o ninguno
REGLAS
- Reparte la carga de forma pareja entre los integrantes.
- No propongas tareas que no alcancen en el tiempo de la sesión.
- Cada sesión debe dejar por lo menos un entregable.
- No inventes recursos ni herramientas que no te hayamos mencionado.
- Entrégalo en una tabla con las columnas: sesión, tarea, responsable,
  entregable y apoyo del docente.</t>
  </si>
  <si>
    <t xml:space="preserve">Lo que devuelva la IA es un borrador. Revisen que las tareas quepan en 90 minutos, que nadie quede con el doble de carga y que no aparezcan apoyos del docente que ustedes no pidieron.</t>
  </si>
  <si>
    <t xml:space="preserve">Proyecto: ______________________________     Equipo: ______     Integrantes: ______________________________</t>
  </si>
  <si>
    <t xml:space="preserve">Semana</t>
  </si>
  <si>
    <t xml:space="preserve">Fechas</t>
  </si>
  <si>
    <t xml:space="preserve">Sesión</t>
  </si>
  <si>
    <t xml:space="preserve">Fase</t>
  </si>
  <si>
    <t xml:space="preserve">Tarea de la semana</t>
  </si>
  <si>
    <t xml:space="preserve">Responsable del equipo</t>
  </si>
  <si>
    <t xml:space="preserve">Apoyo del docente</t>
  </si>
  <si>
    <t xml:space="preserve">Entregable</t>
  </si>
  <si>
    <t xml:space="preserve">Estado</t>
  </si>
  <si>
    <t xml:space="preserve">% avance</t>
  </si>
  <si>
    <t xml:space="preserve">Avance real</t>
  </si>
  <si>
    <t xml:space="preserve">Ajuste y motivo</t>
  </si>
  <si>
    <t xml:space="preserve">3 al 9 de agosto</t>
  </si>
  <si>
    <t xml:space="preserve">5 y 6 de agosto</t>
  </si>
  <si>
    <t xml:space="preserve">Idear</t>
  </si>
  <si>
    <t xml:space="preserve">10 al 16 de agosto</t>
  </si>
  <si>
    <t xml:space="preserve">12 y 13 de agosto</t>
  </si>
  <si>
    <t xml:space="preserve">17 al 23 de agosto</t>
  </si>
  <si>
    <t xml:space="preserve">19 y 20 de agosto</t>
  </si>
  <si>
    <t xml:space="preserve">Prototipar</t>
  </si>
  <si>
    <t xml:space="preserve">24 al 30 de agosto</t>
  </si>
  <si>
    <t xml:space="preserve">26 y 27 de agosto</t>
  </si>
  <si>
    <t xml:space="preserve">31 ago al 6 de sep</t>
  </si>
  <si>
    <t xml:space="preserve">2 y 3 de septiembre</t>
  </si>
  <si>
    <t xml:space="preserve">7 al 13 de septiembre</t>
  </si>
  <si>
    <t xml:space="preserve">9 y 10 de septiembre</t>
  </si>
  <si>
    <t xml:space="preserve">14 al 20 de septiembre</t>
  </si>
  <si>
    <t xml:space="preserve">16 y 17 de septiembre</t>
  </si>
  <si>
    <t xml:space="preserve">21 al 27 de septiembre</t>
  </si>
  <si>
    <t xml:space="preserve">23 y 24 de septiembre</t>
  </si>
  <si>
    <t xml:space="preserve">28 sep al 4 de oct</t>
  </si>
  <si>
    <t xml:space="preserve">30 sep y 1 de octubre</t>
  </si>
  <si>
    <t xml:space="preserve">Evaluar</t>
  </si>
  <si>
    <t xml:space="preserve">5 al 11 de octubre</t>
  </si>
  <si>
    <t xml:space="preserve">Receso escolar</t>
  </si>
  <si>
    <t xml:space="preserve">Sin sesión</t>
  </si>
  <si>
    <t xml:space="preserve">Semana de receso escolar. No hay sesión ni tareas obligatorias.</t>
  </si>
  <si>
    <t xml:space="preserve">12 al 18 de octubre</t>
  </si>
  <si>
    <t xml:space="preserve">14 y 15 de octubre</t>
  </si>
  <si>
    <t xml:space="preserve">Iterar</t>
  </si>
  <si>
    <t xml:space="preserve">19 al 25 de octubre</t>
  </si>
  <si>
    <t xml:space="preserve">21 y 22 de octubre</t>
  </si>
  <si>
    <t xml:space="preserve">26 de oct al 1 de nov</t>
  </si>
  <si>
    <t xml:space="preserve">28 y 29 de octubre</t>
  </si>
  <si>
    <t xml:space="preserve">Cierre</t>
  </si>
  <si>
    <t xml:space="preserve">Azul: ya viene puesto, no se modifica.   ·   Amarillo: lo llena el equipo.   ·   Verde: lo que necesitan del docente, se confirma en clase.</t>
  </si>
  <si>
    <t xml:space="preserve">Resumen de avance</t>
  </si>
  <si>
    <t xml:space="preserve">Se calcula solo con lo que escriban en la hoja Cronograma.</t>
  </si>
  <si>
    <t xml:space="preserve">Tareas registradas</t>
  </si>
  <si>
    <t xml:space="preserve">Tareas terminadas</t>
  </si>
  <si>
    <t xml:space="preserve">Tareas en proceso</t>
  </si>
  <si>
    <t xml:space="preserve">Tareas aplazadas</t>
  </si>
  <si>
    <t xml:space="preserve">Avance promedio</t>
  </si>
  <si>
    <t xml:space="preserve">Apoyos solicitados al docente</t>
  </si>
  <si>
    <t xml:space="preserve">Tutoriales solicitados</t>
  </si>
  <si>
    <t xml:space="preserve">Carga por integrante</t>
  </si>
  <si>
    <t xml:space="preserve">Escriban aquí el nombre</t>
  </si>
  <si>
    <t xml:space="preserve">Tareas asignadas</t>
  </si>
  <si>
    <t xml:space="preserve">Si un integrante tiene el doble de tareas que otro, revisen el reparto en el Formato 2. La idea no es que todos hagan lo mismo, sino que nadie quede sin aprender nada.</t>
  </si>
</sst>
</file>

<file path=xl/styles.xml><?xml version="1.0" encoding="utf-8"?>
<styleSheet xmlns="http://schemas.openxmlformats.org/spreadsheetml/2006/main">
  <numFmts count="3">
    <numFmt numFmtId="164" formatCode="General"/>
    <numFmt numFmtId="165" formatCode="0%"/>
    <numFmt numFmtId="166" formatCode="0"/>
  </numFmts>
  <fonts count="18">
    <font>
      <sz val="11"/>
      <color theme="1"/>
      <name val="Calibri"/>
      <family val="2"/>
      <charset val="1"/>
    </font>
    <font>
      <sz val="10"/>
      <name val="Arial"/>
      <family val="0"/>
    </font>
    <font>
      <sz val="10"/>
      <name val="Arial"/>
      <family val="0"/>
    </font>
    <font>
      <sz val="10"/>
      <name val="Arial"/>
      <family val="0"/>
    </font>
    <font>
      <b val="true"/>
      <sz val="16"/>
      <color rgb="FF1E2761"/>
      <name val="Arial"/>
      <family val="0"/>
      <charset val="1"/>
    </font>
    <font>
      <sz val="10"/>
      <color rgb="FF595959"/>
      <name val="Arial"/>
      <family val="0"/>
      <charset val="1"/>
    </font>
    <font>
      <b val="true"/>
      <sz val="10"/>
      <color rgb="FF1E2761"/>
      <name val="Arial"/>
      <family val="0"/>
      <charset val="1"/>
    </font>
    <font>
      <sz val="10"/>
      <name val="Arial"/>
      <family val="0"/>
      <charset val="1"/>
    </font>
    <font>
      <i val="true"/>
      <sz val="9"/>
      <color rgb="FF595959"/>
      <name val="Arial"/>
      <family val="0"/>
      <charset val="1"/>
    </font>
    <font>
      <b val="true"/>
      <sz val="12"/>
      <color rgb="FF1E2761"/>
      <name val="Arial"/>
      <family val="0"/>
      <charset val="1"/>
    </font>
    <font>
      <i val="true"/>
      <sz val="10"/>
      <color rgb="FF595959"/>
      <name val="Arial"/>
      <family val="0"/>
      <charset val="1"/>
    </font>
    <font>
      <sz val="9"/>
      <name val="Consolas"/>
      <family val="0"/>
      <charset val="1"/>
    </font>
    <font>
      <b val="true"/>
      <sz val="11"/>
      <color rgb="FF1E2761"/>
      <name val="Arial"/>
      <family val="0"/>
      <charset val="1"/>
    </font>
    <font>
      <b val="true"/>
      <sz val="9"/>
      <color rgb="FFFFFFFF"/>
      <name val="Arial"/>
      <family val="0"/>
      <charset val="1"/>
    </font>
    <font>
      <b val="true"/>
      <sz val="9"/>
      <color rgb="FF000000"/>
      <name val="Arial"/>
      <family val="0"/>
      <charset val="1"/>
    </font>
    <font>
      <sz val="9"/>
      <color rgb="FF000000"/>
      <name val="Arial"/>
      <family val="0"/>
      <charset val="1"/>
    </font>
    <font>
      <sz val="9"/>
      <name val="Arial"/>
      <family val="0"/>
      <charset val="1"/>
    </font>
    <font>
      <b val="true"/>
      <i val="true"/>
      <sz val="9"/>
      <color rgb="FF595959"/>
      <name val="Arial"/>
      <family val="0"/>
      <charset val="1"/>
    </font>
  </fonts>
  <fills count="8">
    <fill>
      <patternFill patternType="none"/>
    </fill>
    <fill>
      <patternFill patternType="gray125"/>
    </fill>
    <fill>
      <patternFill patternType="solid">
        <fgColor rgb="FFEEF3FB"/>
        <bgColor rgb="FFF2F2F2"/>
      </patternFill>
    </fill>
    <fill>
      <patternFill patternType="solid">
        <fgColor rgb="FF1E2761"/>
        <bgColor rgb="FF333333"/>
      </patternFill>
    </fill>
    <fill>
      <patternFill patternType="solid">
        <fgColor rgb="FFD9E2F3"/>
        <bgColor rgb="FFE2EFDA"/>
      </patternFill>
    </fill>
    <fill>
      <patternFill patternType="solid">
        <fgColor rgb="FFFFF2CC"/>
        <bgColor rgb="FFF2F2F2"/>
      </patternFill>
    </fill>
    <fill>
      <patternFill patternType="solid">
        <fgColor rgb="FFE2EFDA"/>
        <bgColor rgb="FFF2F2F2"/>
      </patternFill>
    </fill>
    <fill>
      <patternFill patternType="solid">
        <fgColor rgb="FFF2F2F2"/>
        <bgColor rgb="FFEEF3F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2" borderId="1" xfId="0" applyFont="true" applyBorder="true" applyAlignment="true" applyProtection="true">
      <alignment horizontal="general" vertical="top" textRotation="0" wrapText="tru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13" fillId="3" borderId="1" xfId="0" applyFont="true" applyBorder="true" applyAlignment="true" applyProtection="true">
      <alignment horizontal="center" vertical="center" textRotation="0" wrapText="true" indent="0" shrinkToFit="false"/>
      <protection locked="true" hidden="false"/>
    </xf>
    <xf numFmtId="164" fontId="14" fillId="4" borderId="1" xfId="0" applyFont="true" applyBorder="true" applyAlignment="true" applyProtection="true">
      <alignment horizontal="center" vertical="center" textRotation="0" wrapText="true" indent="0" shrinkToFit="false"/>
      <protection locked="true" hidden="false"/>
    </xf>
    <xf numFmtId="164" fontId="15" fillId="4" borderId="1" xfId="0" applyFont="true" applyBorder="true" applyAlignment="true" applyProtection="true">
      <alignment horizontal="left" vertical="center" textRotation="0" wrapText="true" indent="0" shrinkToFit="false"/>
      <protection locked="true" hidden="false"/>
    </xf>
    <xf numFmtId="164" fontId="15" fillId="4" borderId="1" xfId="0" applyFont="true" applyBorder="true" applyAlignment="true" applyProtection="true">
      <alignment horizontal="center" vertical="center" textRotation="0" wrapText="true" indent="0" shrinkToFit="false"/>
      <protection locked="true" hidden="false"/>
    </xf>
    <xf numFmtId="164" fontId="16" fillId="5" borderId="1" xfId="0" applyFont="true" applyBorder="true" applyAlignment="true" applyProtection="true">
      <alignment horizontal="general" vertical="top" textRotation="0" wrapText="true" indent="0" shrinkToFit="false"/>
      <protection locked="true" hidden="false"/>
    </xf>
    <xf numFmtId="164" fontId="16" fillId="6" borderId="1" xfId="0" applyFont="true" applyBorder="true" applyAlignment="true" applyProtection="true">
      <alignment horizontal="general" vertical="top" textRotation="0" wrapText="true" indent="0" shrinkToFit="false"/>
      <protection locked="true" hidden="false"/>
    </xf>
    <xf numFmtId="164" fontId="16" fillId="5" borderId="1" xfId="0" applyFont="true" applyBorder="true" applyAlignment="true" applyProtection="true">
      <alignment horizontal="center" vertical="top" textRotation="0" wrapText="true" indent="0" shrinkToFit="false"/>
      <protection locked="true" hidden="false"/>
    </xf>
    <xf numFmtId="165" fontId="16" fillId="5" borderId="1" xfId="0" applyFont="true" applyBorder="true" applyAlignment="true" applyProtection="true">
      <alignment horizontal="center" vertical="top" textRotation="0" wrapText="true" indent="0" shrinkToFit="false"/>
      <protection locked="true" hidden="false"/>
    </xf>
    <xf numFmtId="164" fontId="16" fillId="5" borderId="1" xfId="0" applyFont="true" applyBorder="true" applyAlignment="true" applyProtection="true">
      <alignment horizontal="left" vertical="top" textRotation="0" wrapText="true" indent="0" shrinkToFit="false"/>
      <protection locked="true" hidden="false"/>
    </xf>
    <xf numFmtId="164" fontId="17" fillId="7" borderId="1" xfId="0" applyFont="true" applyBorder="true" applyAlignment="true" applyProtection="true">
      <alignment horizontal="center" vertical="center" textRotation="0" wrapText="true" indent="0" shrinkToFit="false"/>
      <protection locked="true" hidden="false"/>
    </xf>
    <xf numFmtId="164" fontId="8" fillId="7" borderId="1" xfId="0" applyFont="true" applyBorder="true" applyAlignment="true" applyProtection="true">
      <alignment horizontal="left" vertical="center" textRotation="0" wrapText="true" indent="0" shrinkToFit="false"/>
      <protection locked="true" hidden="false"/>
    </xf>
    <xf numFmtId="164" fontId="8" fillId="7" borderId="1" xfId="0" applyFont="true" applyBorder="true" applyAlignment="true" applyProtection="true">
      <alignment horizontal="center" vertical="center" textRotation="0" wrapText="true" indent="0" shrinkToFit="false"/>
      <protection locked="true" hidden="false"/>
    </xf>
    <xf numFmtId="164" fontId="8" fillId="7" borderId="1" xfId="0" applyFont="true" applyBorder="true" applyAlignment="true" applyProtection="true">
      <alignment horizontal="general" vertical="center" textRotation="0" wrapText="true" indent="0" shrinkToFit="false"/>
      <protection locked="true" hidden="false"/>
    </xf>
    <xf numFmtId="164" fontId="0" fillId="7" borderId="1"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6" fontId="12" fillId="4" borderId="1" xfId="0" applyFont="true" applyBorder="true" applyAlignment="true" applyProtection="true">
      <alignment horizontal="center" vertical="bottom" textRotation="0" wrapText="false" indent="0" shrinkToFit="false"/>
      <protection locked="true" hidden="false"/>
    </xf>
    <xf numFmtId="165" fontId="12" fillId="4" borderId="1" xfId="0" applyFont="true" applyBorder="true" applyAlignment="true" applyProtection="true">
      <alignment horizontal="center" vertical="bottom" textRotation="0" wrapText="false" indent="0" shrinkToFit="false"/>
      <protection locked="true" hidden="false"/>
    </xf>
    <xf numFmtId="164" fontId="7" fillId="5" borderId="1" xfId="0" applyFont="true" applyBorder="true" applyAlignment="true" applyProtection="true">
      <alignment horizontal="general" vertical="bottom" textRotation="0" wrapText="false" indent="0" shrinkToFit="false"/>
      <protection locked="true" hidden="false"/>
    </xf>
    <xf numFmtId="164" fontId="6" fillId="4" borderId="1"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E2761"/>
          <bgColor rgb="FF000000"/>
        </patternFill>
      </fill>
    </dxf>
    <dxf>
      <fill>
        <patternFill patternType="solid">
          <fgColor rgb="FFD9E2F3"/>
          <bgColor rgb="FF000000"/>
        </patternFill>
      </fill>
    </dxf>
    <dxf>
      <fill>
        <patternFill patternType="solid">
          <fgColor rgb="FFF2F2F2"/>
          <bgColor rgb="FF000000"/>
        </patternFill>
      </fill>
    </dxf>
    <dxf>
      <fill>
        <patternFill patternType="solid">
          <fgColor rgb="FF000000"/>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FFF2CC"/>
          <bgColor rgb="FF000000"/>
        </patternFill>
      </fill>
    </dxf>
    <dxf>
      <fill>
        <patternFill patternType="solid">
          <bgColor rgb="FF000000"/>
        </patternFill>
      </fill>
    </dxf>
    <dxf>
      <fill>
        <patternFill patternType="solid">
          <fgColor rgb="FFE2EFD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EF3FB"/>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E276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100"/>
  </cols>
  <sheetData>
    <row r="2" customFormat="false" ht="19.7" hidden="false" customHeight="false" outlineLevel="0" collapsed="false">
      <c r="B2" s="2" t="s">
        <v>0</v>
      </c>
    </row>
    <row r="3" customFormat="false" ht="15" hidden="false" customHeight="false" outlineLevel="0" collapsed="false">
      <c r="B3" s="3" t="s">
        <v>1</v>
      </c>
    </row>
    <row r="5" customFormat="false" ht="36" hidden="false" customHeight="true" outlineLevel="0" collapsed="false">
      <c r="B5" s="4" t="s">
        <v>2</v>
      </c>
      <c r="C5" s="5" t="s">
        <v>3</v>
      </c>
    </row>
    <row r="6" customFormat="false" ht="36" hidden="false" customHeight="true" outlineLevel="0" collapsed="false">
      <c r="B6" s="4" t="s">
        <v>4</v>
      </c>
      <c r="C6" s="5" t="s">
        <v>5</v>
      </c>
    </row>
    <row r="7" customFormat="false" ht="36" hidden="false" customHeight="true" outlineLevel="0" collapsed="false">
      <c r="B7" s="4" t="s">
        <v>6</v>
      </c>
      <c r="C7" s="5" t="s">
        <v>7</v>
      </c>
    </row>
    <row r="8" customFormat="false" ht="36" hidden="false" customHeight="true" outlineLevel="0" collapsed="false">
      <c r="B8" s="4" t="s">
        <v>8</v>
      </c>
      <c r="C8" s="5" t="s">
        <v>9</v>
      </c>
    </row>
    <row r="9" customFormat="false" ht="36" hidden="false" customHeight="true" outlineLevel="0" collapsed="false">
      <c r="B9" s="4" t="s">
        <v>10</v>
      </c>
      <c r="C9" s="5" t="s">
        <v>11</v>
      </c>
    </row>
    <row r="10" customFormat="false" ht="36" hidden="false" customHeight="true" outlineLevel="0" collapsed="false">
      <c r="B10" s="4" t="s">
        <v>12</v>
      </c>
      <c r="C10" s="5" t="s">
        <v>13</v>
      </c>
    </row>
    <row r="11" customFormat="false" ht="36" hidden="false" customHeight="true" outlineLevel="0" collapsed="false">
      <c r="B11" s="4" t="s">
        <v>14</v>
      </c>
      <c r="C11" s="5" t="s">
        <v>15</v>
      </c>
    </row>
    <row r="12" customFormat="false" ht="36" hidden="false" customHeight="true" outlineLevel="0" collapsed="false">
      <c r="B12" s="4" t="s">
        <v>16</v>
      </c>
      <c r="C12" s="5" t="s">
        <v>17</v>
      </c>
    </row>
    <row r="14" customFormat="false" ht="15" hidden="false" customHeight="false" outlineLevel="0" collapsed="false">
      <c r="B14" s="6" t="s">
        <v>18</v>
      </c>
    </row>
    <row r="16" customFormat="false" ht="15" hidden="false" customHeight="false" outlineLevel="0" collapsed="false">
      <c r="B16" s="7" t="s">
        <v>19</v>
      </c>
      <c r="C16" s="8" t="s">
        <v>20</v>
      </c>
    </row>
    <row r="17" customFormat="false" ht="429.75" hidden="false" customHeight="true" outlineLevel="0" collapsed="false">
      <c r="B17" s="9" t="s">
        <v>21</v>
      </c>
      <c r="C17" s="9"/>
    </row>
    <row r="19" customFormat="false" ht="15" hidden="false" customHeight="false" outlineLevel="0" collapsed="false">
      <c r="B19" s="6" t="s">
        <v>22</v>
      </c>
    </row>
  </sheetData>
  <mergeCells count="1">
    <mergeCell ref="B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15"/>
    <col collapsed="false" customWidth="true" hidden="false" outlineLevel="0" max="4" min="4" style="1" width="13"/>
    <col collapsed="false" customWidth="true" hidden="false" outlineLevel="0" max="5" min="5" style="1" width="44"/>
    <col collapsed="false" customWidth="true" hidden="false" outlineLevel="0" max="6" min="6" style="1" width="17"/>
    <col collapsed="false" customWidth="true" hidden="false" outlineLevel="0" max="7" min="7" style="1" width="20"/>
    <col collapsed="false" customWidth="true" hidden="false" outlineLevel="0" max="8" min="8" style="1" width="28"/>
    <col collapsed="false" customWidth="true" hidden="false" outlineLevel="0" max="9" min="9" style="1" width="13"/>
    <col collapsed="false" customWidth="true" hidden="false" outlineLevel="0" max="10" min="10" style="1" width="10"/>
    <col collapsed="false" customWidth="true" hidden="false" outlineLevel="0" max="12" min="11" style="1" width="32"/>
  </cols>
  <sheetData>
    <row r="1" customFormat="false" ht="21.75" hidden="false" customHeight="true" outlineLevel="0" collapsed="false">
      <c r="A1" s="10" t="s">
        <v>23</v>
      </c>
      <c r="B1" s="10"/>
      <c r="C1" s="10"/>
      <c r="D1" s="10"/>
      <c r="E1" s="10"/>
      <c r="F1" s="10"/>
      <c r="G1" s="10"/>
      <c r="H1" s="10"/>
      <c r="I1" s="10"/>
      <c r="J1" s="10"/>
      <c r="K1" s="10"/>
      <c r="L1" s="10"/>
      <c r="M1" s="10"/>
    </row>
    <row r="2" customFormat="false" ht="33.75" hidden="false" customHeight="true" outlineLevel="0" collapsed="false">
      <c r="A2" s="11" t="s">
        <v>24</v>
      </c>
      <c r="B2" s="11" t="s">
        <v>25</v>
      </c>
      <c r="C2" s="11" t="s">
        <v>26</v>
      </c>
      <c r="D2" s="11" t="s">
        <v>27</v>
      </c>
      <c r="E2" s="11" t="s">
        <v>28</v>
      </c>
      <c r="F2" s="11" t="s">
        <v>29</v>
      </c>
      <c r="G2" s="11" t="s">
        <v>30</v>
      </c>
      <c r="H2" s="11" t="s">
        <v>31</v>
      </c>
      <c r="I2" s="11" t="s">
        <v>32</v>
      </c>
      <c r="J2" s="11" t="s">
        <v>33</v>
      </c>
      <c r="K2" s="11" t="s">
        <v>34</v>
      </c>
      <c r="L2" s="11" t="s">
        <v>35</v>
      </c>
    </row>
    <row r="3" customFormat="false" ht="30" hidden="false" customHeight="true" outlineLevel="0" collapsed="false">
      <c r="A3" s="12" t="n">
        <v>4</v>
      </c>
      <c r="B3" s="13" t="s">
        <v>36</v>
      </c>
      <c r="C3" s="14" t="s">
        <v>37</v>
      </c>
      <c r="D3" s="14" t="s">
        <v>38</v>
      </c>
      <c r="E3" s="15"/>
      <c r="F3" s="15"/>
      <c r="G3" s="16"/>
      <c r="H3" s="15"/>
      <c r="I3" s="17"/>
      <c r="J3" s="18"/>
      <c r="K3" s="19"/>
      <c r="L3" s="19"/>
    </row>
    <row r="4" customFormat="false" ht="30" hidden="false" customHeight="true" outlineLevel="0" collapsed="false">
      <c r="A4" s="14"/>
      <c r="B4" s="13"/>
      <c r="C4" s="14"/>
      <c r="D4" s="14"/>
      <c r="E4" s="15"/>
      <c r="F4" s="15"/>
      <c r="G4" s="16"/>
      <c r="H4" s="15"/>
      <c r="I4" s="17"/>
      <c r="J4" s="18"/>
      <c r="K4" s="19"/>
      <c r="L4" s="19"/>
    </row>
    <row r="5" customFormat="false" ht="30" hidden="false" customHeight="true" outlineLevel="0" collapsed="false">
      <c r="A5" s="14"/>
      <c r="B5" s="13"/>
      <c r="C5" s="14"/>
      <c r="D5" s="14"/>
      <c r="E5" s="15"/>
      <c r="F5" s="15"/>
      <c r="G5" s="16"/>
      <c r="H5" s="15"/>
      <c r="I5" s="17"/>
      <c r="J5" s="18"/>
      <c r="K5" s="19"/>
      <c r="L5" s="19"/>
    </row>
    <row r="6" customFormat="false" ht="30" hidden="false" customHeight="true" outlineLevel="0" collapsed="false">
      <c r="A6" s="12" t="n">
        <v>5</v>
      </c>
      <c r="B6" s="13" t="s">
        <v>39</v>
      </c>
      <c r="C6" s="14" t="s">
        <v>40</v>
      </c>
      <c r="D6" s="14" t="s">
        <v>38</v>
      </c>
      <c r="E6" s="15"/>
      <c r="F6" s="15"/>
      <c r="G6" s="16"/>
      <c r="H6" s="15"/>
      <c r="I6" s="17"/>
      <c r="J6" s="18"/>
      <c r="K6" s="19"/>
      <c r="L6" s="19"/>
    </row>
    <row r="7" customFormat="false" ht="30" hidden="false" customHeight="true" outlineLevel="0" collapsed="false">
      <c r="A7" s="14"/>
      <c r="B7" s="13"/>
      <c r="C7" s="14"/>
      <c r="D7" s="14"/>
      <c r="E7" s="15"/>
      <c r="F7" s="15"/>
      <c r="G7" s="16"/>
      <c r="H7" s="15"/>
      <c r="I7" s="17"/>
      <c r="J7" s="18"/>
      <c r="K7" s="19"/>
      <c r="L7" s="19"/>
    </row>
    <row r="8" customFormat="false" ht="30" hidden="false" customHeight="true" outlineLevel="0" collapsed="false">
      <c r="A8" s="14"/>
      <c r="B8" s="13"/>
      <c r="C8" s="14"/>
      <c r="D8" s="14"/>
      <c r="E8" s="15"/>
      <c r="F8" s="15"/>
      <c r="G8" s="16"/>
      <c r="H8" s="15"/>
      <c r="I8" s="17"/>
      <c r="J8" s="18"/>
      <c r="K8" s="19"/>
      <c r="L8" s="19"/>
    </row>
    <row r="9" customFormat="false" ht="30" hidden="false" customHeight="true" outlineLevel="0" collapsed="false">
      <c r="A9" s="12" t="n">
        <v>6</v>
      </c>
      <c r="B9" s="13" t="s">
        <v>41</v>
      </c>
      <c r="C9" s="14" t="s">
        <v>42</v>
      </c>
      <c r="D9" s="14" t="s">
        <v>43</v>
      </c>
      <c r="E9" s="15"/>
      <c r="F9" s="15"/>
      <c r="G9" s="16"/>
      <c r="H9" s="15"/>
      <c r="I9" s="17"/>
      <c r="J9" s="18"/>
      <c r="K9" s="19"/>
      <c r="L9" s="19"/>
    </row>
    <row r="10" customFormat="false" ht="30" hidden="false" customHeight="true" outlineLevel="0" collapsed="false">
      <c r="A10" s="14"/>
      <c r="B10" s="13"/>
      <c r="C10" s="14"/>
      <c r="D10" s="14"/>
      <c r="E10" s="15"/>
      <c r="F10" s="15"/>
      <c r="G10" s="16"/>
      <c r="H10" s="15"/>
      <c r="I10" s="17"/>
      <c r="J10" s="18"/>
      <c r="K10" s="19"/>
      <c r="L10" s="19"/>
    </row>
    <row r="11" customFormat="false" ht="30" hidden="false" customHeight="true" outlineLevel="0" collapsed="false">
      <c r="A11" s="14"/>
      <c r="B11" s="13"/>
      <c r="C11" s="14"/>
      <c r="D11" s="14"/>
      <c r="E11" s="15"/>
      <c r="F11" s="15"/>
      <c r="G11" s="16"/>
      <c r="H11" s="15"/>
      <c r="I11" s="17"/>
      <c r="J11" s="18"/>
      <c r="K11" s="19"/>
      <c r="L11" s="19"/>
    </row>
    <row r="12" customFormat="false" ht="30" hidden="false" customHeight="true" outlineLevel="0" collapsed="false">
      <c r="A12" s="12" t="n">
        <v>7</v>
      </c>
      <c r="B12" s="13" t="s">
        <v>44</v>
      </c>
      <c r="C12" s="14" t="s">
        <v>45</v>
      </c>
      <c r="D12" s="14" t="s">
        <v>43</v>
      </c>
      <c r="E12" s="15"/>
      <c r="F12" s="15"/>
      <c r="G12" s="16"/>
      <c r="H12" s="15"/>
      <c r="I12" s="17"/>
      <c r="J12" s="18"/>
      <c r="K12" s="19"/>
      <c r="L12" s="19"/>
    </row>
    <row r="13" customFormat="false" ht="30" hidden="false" customHeight="true" outlineLevel="0" collapsed="false">
      <c r="A13" s="14"/>
      <c r="B13" s="13"/>
      <c r="C13" s="14"/>
      <c r="D13" s="14"/>
      <c r="E13" s="15"/>
      <c r="F13" s="15"/>
      <c r="G13" s="16"/>
      <c r="H13" s="15"/>
      <c r="I13" s="17"/>
      <c r="J13" s="18"/>
      <c r="K13" s="19"/>
      <c r="L13" s="19"/>
    </row>
    <row r="14" customFormat="false" ht="30" hidden="false" customHeight="true" outlineLevel="0" collapsed="false">
      <c r="A14" s="14"/>
      <c r="B14" s="13"/>
      <c r="C14" s="14"/>
      <c r="D14" s="14"/>
      <c r="E14" s="15"/>
      <c r="F14" s="15"/>
      <c r="G14" s="16"/>
      <c r="H14" s="15"/>
      <c r="I14" s="17"/>
      <c r="J14" s="18"/>
      <c r="K14" s="19"/>
      <c r="L14" s="19"/>
    </row>
    <row r="15" customFormat="false" ht="30" hidden="false" customHeight="true" outlineLevel="0" collapsed="false">
      <c r="A15" s="12" t="n">
        <v>8</v>
      </c>
      <c r="B15" s="13" t="s">
        <v>46</v>
      </c>
      <c r="C15" s="14" t="s">
        <v>47</v>
      </c>
      <c r="D15" s="14" t="s">
        <v>43</v>
      </c>
      <c r="E15" s="15"/>
      <c r="F15" s="15"/>
      <c r="G15" s="16"/>
      <c r="H15" s="15"/>
      <c r="I15" s="17"/>
      <c r="J15" s="18"/>
      <c r="K15" s="19"/>
      <c r="L15" s="19"/>
    </row>
    <row r="16" customFormat="false" ht="30" hidden="false" customHeight="true" outlineLevel="0" collapsed="false">
      <c r="A16" s="14"/>
      <c r="B16" s="13"/>
      <c r="C16" s="14"/>
      <c r="D16" s="14"/>
      <c r="E16" s="15"/>
      <c r="F16" s="15"/>
      <c r="G16" s="16"/>
      <c r="H16" s="15"/>
      <c r="I16" s="17"/>
      <c r="J16" s="18"/>
      <c r="K16" s="19"/>
      <c r="L16" s="19"/>
    </row>
    <row r="17" customFormat="false" ht="30" hidden="false" customHeight="true" outlineLevel="0" collapsed="false">
      <c r="A17" s="14"/>
      <c r="B17" s="13"/>
      <c r="C17" s="14"/>
      <c r="D17" s="14"/>
      <c r="E17" s="15"/>
      <c r="F17" s="15"/>
      <c r="G17" s="16"/>
      <c r="H17" s="15"/>
      <c r="I17" s="17"/>
      <c r="J17" s="18"/>
      <c r="K17" s="19"/>
      <c r="L17" s="19"/>
    </row>
    <row r="18" customFormat="false" ht="30" hidden="false" customHeight="true" outlineLevel="0" collapsed="false">
      <c r="A18" s="12" t="n">
        <v>9</v>
      </c>
      <c r="B18" s="13" t="s">
        <v>48</v>
      </c>
      <c r="C18" s="14" t="s">
        <v>49</v>
      </c>
      <c r="D18" s="14" t="s">
        <v>43</v>
      </c>
      <c r="E18" s="15"/>
      <c r="F18" s="15"/>
      <c r="G18" s="16"/>
      <c r="H18" s="15"/>
      <c r="I18" s="17"/>
      <c r="J18" s="18"/>
      <c r="K18" s="19"/>
      <c r="L18" s="19"/>
    </row>
    <row r="19" customFormat="false" ht="30" hidden="false" customHeight="true" outlineLevel="0" collapsed="false">
      <c r="A19" s="14"/>
      <c r="B19" s="13"/>
      <c r="C19" s="14"/>
      <c r="D19" s="14"/>
      <c r="E19" s="15"/>
      <c r="F19" s="15"/>
      <c r="G19" s="16"/>
      <c r="H19" s="15"/>
      <c r="I19" s="17"/>
      <c r="J19" s="18"/>
      <c r="K19" s="19"/>
      <c r="L19" s="19"/>
    </row>
    <row r="20" customFormat="false" ht="30" hidden="false" customHeight="true" outlineLevel="0" collapsed="false">
      <c r="A20" s="14"/>
      <c r="B20" s="13"/>
      <c r="C20" s="14"/>
      <c r="D20" s="14"/>
      <c r="E20" s="15"/>
      <c r="F20" s="15"/>
      <c r="G20" s="16"/>
      <c r="H20" s="15"/>
      <c r="I20" s="17"/>
      <c r="J20" s="18"/>
      <c r="K20" s="19"/>
      <c r="L20" s="19"/>
    </row>
    <row r="21" customFormat="false" ht="30" hidden="false" customHeight="true" outlineLevel="0" collapsed="false">
      <c r="A21" s="12" t="n">
        <v>10</v>
      </c>
      <c r="B21" s="13" t="s">
        <v>50</v>
      </c>
      <c r="C21" s="14" t="s">
        <v>51</v>
      </c>
      <c r="D21" s="14" t="s">
        <v>43</v>
      </c>
      <c r="E21" s="15"/>
      <c r="F21" s="15"/>
      <c r="G21" s="16"/>
      <c r="H21" s="15"/>
      <c r="I21" s="17"/>
      <c r="J21" s="18"/>
      <c r="K21" s="19"/>
      <c r="L21" s="19"/>
    </row>
    <row r="22" customFormat="false" ht="30" hidden="false" customHeight="true" outlineLevel="0" collapsed="false">
      <c r="A22" s="14"/>
      <c r="B22" s="13"/>
      <c r="C22" s="14"/>
      <c r="D22" s="14"/>
      <c r="E22" s="15"/>
      <c r="F22" s="15"/>
      <c r="G22" s="16"/>
      <c r="H22" s="15"/>
      <c r="I22" s="17"/>
      <c r="J22" s="18"/>
      <c r="K22" s="19"/>
      <c r="L22" s="19"/>
    </row>
    <row r="23" customFormat="false" ht="30" hidden="false" customHeight="true" outlineLevel="0" collapsed="false">
      <c r="A23" s="14"/>
      <c r="B23" s="13"/>
      <c r="C23" s="14"/>
      <c r="D23" s="14"/>
      <c r="E23" s="15"/>
      <c r="F23" s="15"/>
      <c r="G23" s="16"/>
      <c r="H23" s="15"/>
      <c r="I23" s="17"/>
      <c r="J23" s="18"/>
      <c r="K23" s="19"/>
      <c r="L23" s="19"/>
    </row>
    <row r="24" customFormat="false" ht="30" hidden="false" customHeight="true" outlineLevel="0" collapsed="false">
      <c r="A24" s="12" t="n">
        <v>11</v>
      </c>
      <c r="B24" s="13" t="s">
        <v>52</v>
      </c>
      <c r="C24" s="14" t="s">
        <v>53</v>
      </c>
      <c r="D24" s="14" t="s">
        <v>43</v>
      </c>
      <c r="E24" s="15"/>
      <c r="F24" s="15"/>
      <c r="G24" s="16"/>
      <c r="H24" s="15"/>
      <c r="I24" s="17"/>
      <c r="J24" s="18"/>
      <c r="K24" s="19"/>
      <c r="L24" s="19"/>
    </row>
    <row r="25" customFormat="false" ht="30" hidden="false" customHeight="true" outlineLevel="0" collapsed="false">
      <c r="A25" s="14"/>
      <c r="B25" s="13"/>
      <c r="C25" s="14"/>
      <c r="D25" s="14"/>
      <c r="E25" s="15"/>
      <c r="F25" s="15"/>
      <c r="G25" s="16"/>
      <c r="H25" s="15"/>
      <c r="I25" s="17"/>
      <c r="J25" s="18"/>
      <c r="K25" s="19"/>
      <c r="L25" s="19"/>
    </row>
    <row r="26" customFormat="false" ht="30" hidden="false" customHeight="true" outlineLevel="0" collapsed="false">
      <c r="A26" s="14"/>
      <c r="B26" s="13"/>
      <c r="C26" s="14"/>
      <c r="D26" s="14"/>
      <c r="E26" s="15"/>
      <c r="F26" s="15"/>
      <c r="G26" s="16"/>
      <c r="H26" s="15"/>
      <c r="I26" s="17"/>
      <c r="J26" s="18"/>
      <c r="K26" s="19"/>
      <c r="L26" s="19"/>
    </row>
    <row r="27" customFormat="false" ht="30" hidden="false" customHeight="true" outlineLevel="0" collapsed="false">
      <c r="A27" s="12" t="n">
        <v>12</v>
      </c>
      <c r="B27" s="13" t="s">
        <v>54</v>
      </c>
      <c r="C27" s="14" t="s">
        <v>55</v>
      </c>
      <c r="D27" s="14" t="s">
        <v>56</v>
      </c>
      <c r="E27" s="15"/>
      <c r="F27" s="15"/>
      <c r="G27" s="16"/>
      <c r="H27" s="15"/>
      <c r="I27" s="17"/>
      <c r="J27" s="18"/>
      <c r="K27" s="19"/>
      <c r="L27" s="19"/>
    </row>
    <row r="28" customFormat="false" ht="30" hidden="false" customHeight="true" outlineLevel="0" collapsed="false">
      <c r="A28" s="14"/>
      <c r="B28" s="13"/>
      <c r="C28" s="14"/>
      <c r="D28" s="14"/>
      <c r="E28" s="15"/>
      <c r="F28" s="15"/>
      <c r="G28" s="16"/>
      <c r="H28" s="15"/>
      <c r="I28" s="17"/>
      <c r="J28" s="18"/>
      <c r="K28" s="19"/>
      <c r="L28" s="19"/>
    </row>
    <row r="29" customFormat="false" ht="30" hidden="false" customHeight="true" outlineLevel="0" collapsed="false">
      <c r="A29" s="14"/>
      <c r="B29" s="13"/>
      <c r="C29" s="14"/>
      <c r="D29" s="14"/>
      <c r="E29" s="15"/>
      <c r="F29" s="15"/>
      <c r="G29" s="16"/>
      <c r="H29" s="15"/>
      <c r="I29" s="17"/>
      <c r="J29" s="18"/>
      <c r="K29" s="19"/>
      <c r="L29" s="19"/>
    </row>
    <row r="30" customFormat="false" ht="30" hidden="false" customHeight="true" outlineLevel="0" collapsed="false">
      <c r="A30" s="20" t="n">
        <v>13</v>
      </c>
      <c r="B30" s="21" t="s">
        <v>57</v>
      </c>
      <c r="C30" s="22" t="s">
        <v>58</v>
      </c>
      <c r="D30" s="22" t="s">
        <v>59</v>
      </c>
      <c r="E30" s="23" t="s">
        <v>60</v>
      </c>
      <c r="F30" s="24"/>
      <c r="G30" s="24"/>
      <c r="H30" s="24"/>
      <c r="I30" s="24"/>
      <c r="J30" s="24"/>
      <c r="K30" s="24"/>
      <c r="L30" s="24"/>
    </row>
    <row r="31" customFormat="false" ht="30" hidden="false" customHeight="true" outlineLevel="0" collapsed="false">
      <c r="A31" s="12" t="n">
        <v>14</v>
      </c>
      <c r="B31" s="13" t="s">
        <v>61</v>
      </c>
      <c r="C31" s="14" t="s">
        <v>62</v>
      </c>
      <c r="D31" s="14" t="s">
        <v>63</v>
      </c>
      <c r="E31" s="15"/>
      <c r="F31" s="15"/>
      <c r="G31" s="16"/>
      <c r="H31" s="15"/>
      <c r="I31" s="17"/>
      <c r="J31" s="18"/>
      <c r="K31" s="19"/>
      <c r="L31" s="19"/>
    </row>
    <row r="32" customFormat="false" ht="30" hidden="false" customHeight="true" outlineLevel="0" collapsed="false">
      <c r="A32" s="14"/>
      <c r="B32" s="13"/>
      <c r="C32" s="14"/>
      <c r="D32" s="14"/>
      <c r="E32" s="15"/>
      <c r="F32" s="15"/>
      <c r="G32" s="16"/>
      <c r="H32" s="15"/>
      <c r="I32" s="17"/>
      <c r="J32" s="18"/>
      <c r="K32" s="19"/>
      <c r="L32" s="19"/>
    </row>
    <row r="33" customFormat="false" ht="30" hidden="false" customHeight="true" outlineLevel="0" collapsed="false">
      <c r="A33" s="14"/>
      <c r="B33" s="13"/>
      <c r="C33" s="14"/>
      <c r="D33" s="14"/>
      <c r="E33" s="15"/>
      <c r="F33" s="15"/>
      <c r="G33" s="16"/>
      <c r="H33" s="15"/>
      <c r="I33" s="17"/>
      <c r="J33" s="18"/>
      <c r="K33" s="19"/>
      <c r="L33" s="19"/>
    </row>
    <row r="34" customFormat="false" ht="30" hidden="false" customHeight="true" outlineLevel="0" collapsed="false">
      <c r="A34" s="12" t="n">
        <v>15</v>
      </c>
      <c r="B34" s="13" t="s">
        <v>64</v>
      </c>
      <c r="C34" s="14" t="s">
        <v>65</v>
      </c>
      <c r="D34" s="14" t="s">
        <v>63</v>
      </c>
      <c r="E34" s="15"/>
      <c r="F34" s="15"/>
      <c r="G34" s="16"/>
      <c r="H34" s="15"/>
      <c r="I34" s="17"/>
      <c r="J34" s="18"/>
      <c r="K34" s="19"/>
      <c r="L34" s="19"/>
    </row>
    <row r="35" customFormat="false" ht="30" hidden="false" customHeight="true" outlineLevel="0" collapsed="false">
      <c r="A35" s="14"/>
      <c r="B35" s="13"/>
      <c r="C35" s="14"/>
      <c r="D35" s="14"/>
      <c r="E35" s="15"/>
      <c r="F35" s="15"/>
      <c r="G35" s="16"/>
      <c r="H35" s="15"/>
      <c r="I35" s="17"/>
      <c r="J35" s="18"/>
      <c r="K35" s="19"/>
      <c r="L35" s="19"/>
    </row>
    <row r="36" customFormat="false" ht="30" hidden="false" customHeight="true" outlineLevel="0" collapsed="false">
      <c r="A36" s="14"/>
      <c r="B36" s="13"/>
      <c r="C36" s="14"/>
      <c r="D36" s="14"/>
      <c r="E36" s="15"/>
      <c r="F36" s="15"/>
      <c r="G36" s="16"/>
      <c r="H36" s="15"/>
      <c r="I36" s="17"/>
      <c r="J36" s="18"/>
      <c r="K36" s="19"/>
      <c r="L36" s="19"/>
    </row>
    <row r="37" customFormat="false" ht="30" hidden="false" customHeight="true" outlineLevel="0" collapsed="false">
      <c r="A37" s="12" t="n">
        <v>16</v>
      </c>
      <c r="B37" s="13" t="s">
        <v>66</v>
      </c>
      <c r="C37" s="14" t="s">
        <v>67</v>
      </c>
      <c r="D37" s="14" t="s">
        <v>68</v>
      </c>
      <c r="E37" s="15"/>
      <c r="F37" s="15"/>
      <c r="G37" s="16"/>
      <c r="H37" s="15"/>
      <c r="I37" s="17"/>
      <c r="J37" s="18"/>
      <c r="K37" s="19"/>
      <c r="L37" s="19"/>
    </row>
    <row r="38" customFormat="false" ht="30" hidden="false" customHeight="true" outlineLevel="0" collapsed="false">
      <c r="A38" s="14"/>
      <c r="B38" s="13"/>
      <c r="C38" s="14"/>
      <c r="D38" s="14"/>
      <c r="E38" s="15"/>
      <c r="F38" s="15"/>
      <c r="G38" s="16"/>
      <c r="H38" s="15"/>
      <c r="I38" s="17"/>
      <c r="J38" s="18"/>
      <c r="K38" s="19"/>
      <c r="L38" s="19"/>
    </row>
    <row r="39" customFormat="false" ht="30" hidden="false" customHeight="true" outlineLevel="0" collapsed="false">
      <c r="A39" s="14"/>
      <c r="B39" s="13"/>
      <c r="C39" s="14"/>
      <c r="D39" s="14"/>
      <c r="E39" s="15"/>
      <c r="F39" s="15"/>
      <c r="G39" s="16"/>
      <c r="H39" s="15"/>
      <c r="I39" s="17"/>
      <c r="J39" s="18"/>
      <c r="K39" s="19"/>
      <c r="L39" s="19"/>
    </row>
    <row r="41" customFormat="false" ht="15" hidden="false" customHeight="false" outlineLevel="0" collapsed="false">
      <c r="A41" s="25" t="s">
        <v>69</v>
      </c>
      <c r="B41" s="25"/>
      <c r="C41" s="25"/>
      <c r="D41" s="25"/>
      <c r="E41" s="25"/>
      <c r="F41" s="25"/>
      <c r="G41" s="25"/>
      <c r="H41" s="25"/>
      <c r="I41" s="25"/>
      <c r="J41" s="25"/>
      <c r="K41" s="25"/>
      <c r="L41" s="25"/>
    </row>
  </sheetData>
  <autoFilter ref="A2:L39"/>
  <mergeCells count="2">
    <mergeCell ref="A1:M1"/>
    <mergeCell ref="A41:L41"/>
  </mergeCells>
  <dataValidations count="3">
    <dataValidation allowBlank="true" errorStyle="stop" operator="between" showDropDown="false" showErrorMessage="false" showInputMessage="false" sqref="I3:I39" type="list">
      <formula1>"No iniciada,En proceso,Terminada,Aplazada"</formula1>
      <formula2>0</formula2>
    </dataValidation>
    <dataValidation allowBlank="true" errorStyle="stop" operator="between" prompt="Qué necesitan del docente para poder cumplir esta tarea" promptTitle="Apoyo del docente" showDropDown="false" showErrorMessage="false" showInputMessage="false" sqref="G3:G39" type="list">
      <formula1>"Ninguno,Tutorial,Revisión de avance,Fecha de entrega,Préstamo de equipo,Gestión de espacio o permiso,Apoyo de otro equipo,Contacto con usuarios"</formula1>
      <formula2>0</formula2>
    </dataValidation>
    <dataValidation allowBlank="true" error="Escribe un porcentaje entre 0 % y 100 %." errorStyle="stop" operator="between" showDropDown="false" showErrorMessage="false" showInputMessage="false" sqref="J3:J39"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4" min="3" style="1" width="18"/>
  </cols>
  <sheetData>
    <row r="2" customFormat="false" ht="19.7" hidden="false" customHeight="false" outlineLevel="0" collapsed="false">
      <c r="B2" s="2" t="s">
        <v>70</v>
      </c>
    </row>
    <row r="3" customFormat="false" ht="15" hidden="false" customHeight="false" outlineLevel="0" collapsed="false">
      <c r="B3" s="8" t="s">
        <v>71</v>
      </c>
    </row>
    <row r="5" customFormat="false" ht="19.5" hidden="false" customHeight="true" outlineLevel="0" collapsed="false">
      <c r="B5" s="26" t="s">
        <v>72</v>
      </c>
      <c r="C5" s="27" t="n">
        <f aca="false">COUNTA(Cronograma!E3:E39)-1</f>
        <v>0</v>
      </c>
    </row>
    <row r="6" customFormat="false" ht="19.5" hidden="false" customHeight="true" outlineLevel="0" collapsed="false">
      <c r="B6" s="26" t="s">
        <v>73</v>
      </c>
      <c r="C6" s="27" t="n">
        <f aca="false">COUNTIF(Cronograma!I3:I39,"Terminada")</f>
        <v>0</v>
      </c>
    </row>
    <row r="7" customFormat="false" ht="19.5" hidden="false" customHeight="true" outlineLevel="0" collapsed="false">
      <c r="B7" s="26" t="s">
        <v>74</v>
      </c>
      <c r="C7" s="27" t="n">
        <f aca="false">COUNTIF(Cronograma!I3:I39,"En proceso")</f>
        <v>0</v>
      </c>
    </row>
    <row r="8" customFormat="false" ht="19.5" hidden="false" customHeight="true" outlineLevel="0" collapsed="false">
      <c r="B8" s="26" t="s">
        <v>75</v>
      </c>
      <c r="C8" s="27" t="n">
        <f aca="false">COUNTIF(Cronograma!I3:I39,"Aplazada")</f>
        <v>0</v>
      </c>
    </row>
    <row r="9" customFormat="false" ht="19.5" hidden="false" customHeight="true" outlineLevel="0" collapsed="false">
      <c r="B9" s="26" t="s">
        <v>76</v>
      </c>
      <c r="C9" s="28" t="n">
        <f aca="false">IFERROR(AVERAGE(Cronograma!J3:J39),0)</f>
        <v>0</v>
      </c>
    </row>
    <row r="10" customFormat="false" ht="19.5" hidden="false" customHeight="true" outlineLevel="0" collapsed="false">
      <c r="B10" s="26" t="s">
        <v>77</v>
      </c>
      <c r="C10" s="27" t="n">
        <f aca="false">COUNTIF(Cronograma!G3:G39,"&lt;&gt;Ninguno")-COUNTBLANK(Cronograma!G3:G39)</f>
        <v>0</v>
      </c>
    </row>
    <row r="11" customFormat="false" ht="19.5" hidden="false" customHeight="true" outlineLevel="0" collapsed="false">
      <c r="B11" s="26" t="s">
        <v>78</v>
      </c>
      <c r="C11" s="27" t="n">
        <f aca="false">COUNTIF(Cronograma!G3:G39,"Tutorial")</f>
        <v>0</v>
      </c>
    </row>
    <row r="13" customFormat="false" ht="15" hidden="false" customHeight="false" outlineLevel="0" collapsed="false">
      <c r="B13" s="7" t="s">
        <v>79</v>
      </c>
    </row>
    <row r="14" customFormat="false" ht="27.75" hidden="false" customHeight="true" outlineLevel="0" collapsed="false">
      <c r="B14" s="11" t="s">
        <v>80</v>
      </c>
      <c r="C14" s="11" t="s">
        <v>81</v>
      </c>
      <c r="D14" s="11" t="s">
        <v>73</v>
      </c>
    </row>
    <row r="15" customFormat="false" ht="15" hidden="false" customHeight="false" outlineLevel="0" collapsed="false">
      <c r="B15" s="29"/>
      <c r="C15" s="30" t="str">
        <f aca="false">IF(B15="","",COUNTIF(Cronograma!F3:F39,B15))</f>
        <v/>
      </c>
      <c r="D15" s="30" t="str">
        <f aca="false">IF(B15="","",COUNTIFS(Cronograma!F3:F39,B15,Cronograma!I3:I39,"Terminada"))</f>
        <v/>
      </c>
    </row>
    <row r="16" customFormat="false" ht="15" hidden="false" customHeight="false" outlineLevel="0" collapsed="false">
      <c r="B16" s="29"/>
      <c r="C16" s="30" t="str">
        <f aca="false">IF(B16="","",COUNTIF(Cronograma!F3:F39,B16))</f>
        <v/>
      </c>
      <c r="D16" s="30" t="str">
        <f aca="false">IF(B16="","",COUNTIFS(Cronograma!F3:F39,B16,Cronograma!I3:I39,"Terminada"))</f>
        <v/>
      </c>
    </row>
    <row r="17" customFormat="false" ht="15" hidden="false" customHeight="false" outlineLevel="0" collapsed="false">
      <c r="B17" s="29"/>
      <c r="C17" s="30" t="str">
        <f aca="false">IF(B17="","",COUNTIF(Cronograma!F3:F39,B17))</f>
        <v/>
      </c>
      <c r="D17" s="30" t="str">
        <f aca="false">IF(B17="","",COUNTIFS(Cronograma!F3:F39,B17,Cronograma!I3:I39,"Terminada"))</f>
        <v/>
      </c>
    </row>
    <row r="18" customFormat="false" ht="15" hidden="false" customHeight="false" outlineLevel="0" collapsed="false">
      <c r="B18" s="29"/>
      <c r="C18" s="30" t="str">
        <f aca="false">IF(B18="","",COUNTIF(Cronograma!F3:F39,B18))</f>
        <v/>
      </c>
      <c r="D18" s="30" t="str">
        <f aca="false">IF(B18="","",COUNTIFS(Cronograma!F3:F39,B18,Cronograma!I3:I39,"Terminada"))</f>
        <v/>
      </c>
    </row>
    <row r="20" customFormat="false" ht="15" hidden="false" customHeight="false" outlineLevel="0" collapsed="false">
      <c r="B20" s="6"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2026-08-05T09:12:27Z</dcterms:created>
  <dc:creator>openpyxl</dc:creator>
  <dc:description/>
  <dc:language>en-US</dc:language>
  <cp:lastModifiedBy/>
  <dcterms:modified xsi:type="dcterms:W3CDTF">2026-08-05T09:12:27Z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