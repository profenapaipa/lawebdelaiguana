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Cronograma" sheetId="2" r:id="rId5"/>
    <sheet state="visible" name="Resumen" sheetId="3" r:id="rId6"/>
  </sheets>
  <definedNames>
    <definedName hidden="1" localSheetId="1" name="_xlnm._FilterDatabase">Cronograma!$A$2:$L$39</definedName>
  </definedNames>
  <calcPr/>
  <extLst>
    <ext uri="GoogleSheetsCustomDataVersion2">
      <go:sheetsCustomData xmlns:go="http://customooxmlschemas.google.com/" r:id="rId7" roundtripDataChecksum="zWOlHVUUnAPXl7MP3IAuvyXldYNPZwkNJR/qfsqIDSY="/>
    </ext>
  </extLst>
</workbook>
</file>

<file path=xl/sharedStrings.xml><?xml version="1.0" encoding="utf-8"?>
<sst xmlns="http://schemas.openxmlformats.org/spreadsheetml/2006/main" count="96" uniqueCount="88">
  <si>
    <t>Proyecto: La web de la iguana    Equipo: 1    Integrantes: Samuel Gomez/ Gabriel Giraldo</t>
  </si>
  <si>
    <t>Cronograma de tareas del proyecto</t>
  </si>
  <si>
    <t>Resumen de avance</t>
  </si>
  <si>
    <t>Lúdica Semillero de Tecnología Maker · 2026-II · va en la subcarpeta 02_Cronograma</t>
  </si>
  <si>
    <t>Se calcula solo con lo que escriban en la hoja Cronograma.</t>
  </si>
  <si>
    <t>Antes de llenar esto</t>
  </si>
  <si>
    <t>Diligencien primero el Formato 1, que está en 04_Desarrollo. Sin saber qué necesitan y qué deben aprender, el cronograma queda en frases vagas del tipo "avanzar en el proyecto".</t>
  </si>
  <si>
    <t>Semana</t>
  </si>
  <si>
    <t>Tareas registradas</t>
  </si>
  <si>
    <t>Cómo se llena</t>
  </si>
  <si>
    <t>Le piden a la inteligencia artificial que descomponga el proyecto en tareas semanales, con el prompt que aparece en la guía de la sesión. Después revisan lo que devolvió y lo pasan a la hoja Cronograma. Cada semana tiene tres renglones para tareas: si les sobra, lo dejan vacío.</t>
  </si>
  <si>
    <t>Columnas azules</t>
  </si>
  <si>
    <t>Semana, fechas, sesión y fase ya vienen puestas. No se modifican.</t>
  </si>
  <si>
    <t>Columnas amarillas</t>
  </si>
  <si>
    <t>Tarea, responsable del equipo y entregable. Las llenan hoy, para todo el semestre.</t>
  </si>
  <si>
    <t>Columna verde</t>
  </si>
  <si>
    <t>Apoyo del docente. La llenan hoy con lo que van a necesitar de él y se confirma en clase. Si una tarea no necesita apoyo, se deja en Ninguno.</t>
  </si>
  <si>
    <t>Fechas</t>
  </si>
  <si>
    <t>Columnas de seguimiento</t>
  </si>
  <si>
    <t>Estado, % de avance, avance real y ajuste. Se llenan al terminar cada sesión, no al final del semestre. Toma dos minutos y hace parte de la evaluación del proceso.</t>
  </si>
  <si>
    <t>Sesión</t>
  </si>
  <si>
    <t>Sobre los responsables</t>
  </si>
  <si>
    <t>Escriban un solo nombre por tarea. Un responsable no hace la tarea solo: responde si no se hizo. Cuando cambie el reparto, lo actualizan aquí y en el Formato 2 de acuerdos.</t>
  </si>
  <si>
    <t>Fase</t>
  </si>
  <si>
    <t>Hoja Resumen</t>
  </si>
  <si>
    <t>Tarea de la semana</t>
  </si>
  <si>
    <t>Se calcula sola. Muestra cuántas tareas lleva cada integrante y cuántas están terminadas.</t>
  </si>
  <si>
    <t>Responsable del equipo</t>
  </si>
  <si>
    <t>Apoyo del docente</t>
  </si>
  <si>
    <t>Las fechas provienen de la ruta del semestre entregada por el docente. La semana del 3 al 12 de octubre es receso escolar y no tiene sesión.</t>
  </si>
  <si>
    <t>Entregable</t>
  </si>
  <si>
    <t>Estado</t>
  </si>
  <si>
    <t>Prompt para que la IA arme el borrador del cronograma</t>
  </si>
  <si>
    <t>% avance</t>
  </si>
  <si>
    <t>Cópienlo desde la celda de abajo, reemplacen los corchetes y péguenlo en Claude o ChatGPT.</t>
  </si>
  <si>
    <t>Avance real</t>
  </si>
  <si>
    <t>Ajuste y motivo</t>
  </si>
  <si>
    <t>Actúa como asesor de proyectos escolares.
NUESTRO PROYECTO
Solución: [describe la solución en tres frases].
Objetivos: [pega el objetivo general y los específicos].
Línea técnica: [3D / electrónica / software / multimedia].
Somos [1 a 4] integrantes: [nombre de cada uno y de qué frente responde].
Entregables que deben existir: [pega la parte A del Formato 1].
Recursos que nos faltan: [pega la parte B del Formato 1].
Habilidades que debemos aprender: [pega la parte C del Formato 1].
Nuestros acuerdos de trabajo: [pega lo esencial del Formato 2].
CALENDARIO, 90 minutos por sesión
5-6 ago, 12-13 ago, 19-20 ago, 26-27 ago, 2-3 sep, 9-10 sep, 16-17 sep,
23-24 sep, 30 sep-1 oct, receso escolar del 3 al 12 de oct,
14-15 oct, 21-22 oct, 28-29 oct muestra final.
PARA CADA SESIÓN DAME
- máximo tres tareas concretas que quepan en 90 minutos
- el nombre del integrante que responde por cada tarea
- el entregable que queda guardado en Drive al terminar
- qué necesitamos del docente, eligiendo entre: tutorial, revisión de avance,
  fecha de entrega, préstamo de equipo, gestión de espacio o permiso,
  apoyo de otro equipo, contacto con usuarios, o ninguno
REGLAS
- Reparte la carga de forma pareja entre los integrantes.
- No propongas tareas que no alcancen en el tiempo de la sesión.
- Cada sesión debe dejar por lo menos un entregable.
- No inventes recursos ni herramientas que no te hayamos mencionado.
- Entrégalo en una tabla con las columnas: sesión, tarea, responsable,
  entregable y apoyo del docente.</t>
  </si>
  <si>
    <t>Tareas terminadas</t>
  </si>
  <si>
    <t>3 al 9 de agosto</t>
  </si>
  <si>
    <t>Lo que devuelva la IA es un borrador. Revisen que las tareas quepan en 90 minutos, que nadie quede con el doble de carga y que no aparezcan apoyos del docente que ustedes no pidieron.</t>
  </si>
  <si>
    <t>5 y 6 de agosto</t>
  </si>
  <si>
    <t>Idear</t>
  </si>
  <si>
    <t>Tareas en proceso</t>
  </si>
  <si>
    <t>llenar formato 1 2 y cronograma</t>
  </si>
  <si>
    <t>Tareas aplazadas</t>
  </si>
  <si>
    <t>En proceso</t>
  </si>
  <si>
    <t>Avance promedio</t>
  </si>
  <si>
    <t>90%%</t>
  </si>
  <si>
    <t>formato 1 y el 2 sin el ultimo punto</t>
  </si>
  <si>
    <t>tiempo</t>
  </si>
  <si>
    <t>Apoyos solicitados al docente</t>
  </si>
  <si>
    <t>Tutoriales solicitados</t>
  </si>
  <si>
    <t>Carga por integrante</t>
  </si>
  <si>
    <t>Escriban aquí el nombre</t>
  </si>
  <si>
    <t>Tareas asignadas</t>
  </si>
  <si>
    <t>10 al 16 de agosto</t>
  </si>
  <si>
    <t>12 y 13 de agosto</t>
  </si>
  <si>
    <t>17 al 23 de agosto</t>
  </si>
  <si>
    <t>Si un integrante tiene el doble de tareas que otro, revisen el reparto en el Formato 2. La idea no es que todos hagan lo mismo, sino que nadie quede sin aprender nada.</t>
  </si>
  <si>
    <t>19 y 20 de agosto</t>
  </si>
  <si>
    <t>Prototipar</t>
  </si>
  <si>
    <t>24 al 30 de agosto</t>
  </si>
  <si>
    <t>26 y 27 de agosto</t>
  </si>
  <si>
    <t>31 ago al 6 de sep</t>
  </si>
  <si>
    <t>2 y 3 de septiembre</t>
  </si>
  <si>
    <t>7 al 13 de septiembre</t>
  </si>
  <si>
    <t>9 y 10 de septiembre</t>
  </si>
  <si>
    <t>14 al 20 de septiembre</t>
  </si>
  <si>
    <t>16 y 17 de septiembre</t>
  </si>
  <si>
    <t>21 al 27 de septiembre</t>
  </si>
  <si>
    <t>23 y 24 de septiembre</t>
  </si>
  <si>
    <t>28 sep al 4 de oct</t>
  </si>
  <si>
    <t>30 sep y 1 de octubre</t>
  </si>
  <si>
    <t>Evaluar</t>
  </si>
  <si>
    <t>5 al 11 de octubre</t>
  </si>
  <si>
    <t>Receso escolar</t>
  </si>
  <si>
    <t>Sin sesión</t>
  </si>
  <si>
    <t>Semana de receso escolar. No hay sesión ni tareas obligatorias.</t>
  </si>
  <si>
    <t>12 al 18 de octubre</t>
  </si>
  <si>
    <t>14 y 15 de octubre</t>
  </si>
  <si>
    <t>Iterar</t>
  </si>
  <si>
    <t>19 al 25 de octubre</t>
  </si>
  <si>
    <t>21 y 22 de octubre</t>
  </si>
  <si>
    <t>26 de oct al 1 de nov</t>
  </si>
  <si>
    <t>28 y 29 de octubre</t>
  </si>
  <si>
    <t>Cierre</t>
  </si>
  <si>
    <t>Azul: ya viene puesto, no se modifica.   ·   Amarillo: lo llena el equipo.   ·   Verde: lo que necesitan del docente, se confirma en clase.</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</si>
</sst>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1.0"/>
      <color theme="1"/>
      <name val="Calibri"/>
    </font>
    <font>
      <b/>
      <sz val="16.0"/>
      <color rgb="FF1E2761"/>
      <name val="Arial"/>
    </font>
    <font>
      <b/>
      <sz val="11.0"/>
      <color rgb="FF1E2761"/>
      <name val="Arial"/>
    </font>
    <font>
      <sz val="10.0"/>
      <color rgb="FF595959"/>
      <name val="Arial"/>
    </font>
    <font>
      <i/>
      <sz val="10.0"/>
      <color rgb="FF595959"/>
      <name val="Arial"/>
    </font>
    <font>
      <b/>
      <sz val="10.0"/>
      <color rgb="FF1E2761"/>
      <name val="Arial"/>
    </font>
    <font>
      <sz val="10.0"/>
      <color theme="1"/>
      <name val="Arial"/>
    </font>
    <font>
      <b/>
      <sz val="9.0"/>
      <color rgb="FFFFFFFF"/>
      <name val="Arial"/>
    </font>
    <font>
      <i/>
      <sz val="9.0"/>
      <color rgb="FF595959"/>
      <name val="Arial"/>
    </font>
    <font>
      <b/>
      <sz val="12.0"/>
      <color rgb="FF1E2761"/>
      <name val="Arial"/>
    </font>
    <font>
      <sz val="9.0"/>
      <color theme="1"/>
      <name val="Consolas"/>
    </font>
    <font>
      <b/>
      <sz val="9.0"/>
      <color rgb="FF000000"/>
      <name val="Arial"/>
    </font>
    <font/>
    <font>
      <sz val="9.0"/>
      <color rgb="FF000000"/>
      <name val="Arial"/>
    </font>
    <font>
      <sz val="9.0"/>
      <color theme="1"/>
      <name val="Arial"/>
    </font>
    <font>
      <b/>
      <i/>
      <sz val="9.0"/>
      <color rgb="FF595959"/>
      <name val="Arial"/>
    </font>
  </fonts>
  <fills count="8">
    <fill>
      <patternFill patternType="none"/>
    </fill>
    <fill>
      <patternFill patternType="lightGray"/>
    </fill>
    <fill>
      <patternFill patternType="solid">
        <fgColor rgb="FF1E2761"/>
        <bgColor rgb="FF1E2761"/>
      </patternFill>
    </fill>
    <fill>
      <patternFill patternType="solid">
        <fgColor rgb="FFD9E2F3"/>
        <bgColor rgb="FFD9E2F3"/>
      </patternFill>
    </fill>
    <fill>
      <patternFill patternType="solid">
        <fgColor rgb="FFEEF3FB"/>
        <bgColor rgb="FFEEF3FB"/>
      </patternFill>
    </fill>
    <fill>
      <patternFill patternType="solid">
        <fgColor rgb="FFFFF2CC"/>
        <bgColor rgb="FFFFF2CC"/>
      </patternFill>
    </fill>
    <fill>
      <patternFill patternType="solid">
        <fgColor rgb="FFE2EFDA"/>
        <bgColor rgb="FFE2EFDA"/>
      </patternFill>
    </fill>
    <fill>
      <patternFill patternType="solid">
        <fgColor rgb="FFF2F2F2"/>
        <bgColor rgb="FFF2F2F2"/>
      </patternFill>
    </fill>
  </fills>
  <borders count="4">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top" wrapText="1"/>
    </xf>
    <xf borderId="0" fillId="0" fontId="7" numFmtId="0" xfId="0" applyAlignment="1" applyFont="1">
      <alignment shrinkToFit="0" vertical="top" wrapText="1"/>
    </xf>
    <xf borderId="1" fillId="2" fontId="8" numFmtId="0" xfId="0" applyAlignment="1" applyBorder="1" applyFill="1" applyFont="1">
      <alignment horizontal="center" shrinkToFit="0" vertical="center" wrapText="1"/>
    </xf>
    <xf borderId="1" fillId="0" fontId="7" numFmtId="0" xfId="0" applyAlignment="1" applyBorder="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1" fillId="3" fontId="3" numFmtId="1" xfId="0" applyAlignment="1" applyBorder="1" applyFill="1" applyFont="1" applyNumberFormat="1">
      <alignment horizontal="center" shrinkToFit="0" vertical="bottom" wrapText="0"/>
    </xf>
    <xf borderId="2" fillId="4" fontId="11" numFmtId="0" xfId="0" applyAlignment="1" applyBorder="1" applyFill="1" applyFont="1">
      <alignment shrinkToFit="0" vertical="top" wrapText="1"/>
    </xf>
    <xf borderId="1" fillId="3" fontId="12" numFmtId="0" xfId="0" applyAlignment="1" applyBorder="1" applyFont="1">
      <alignment horizontal="center" shrinkToFit="0" vertical="center" wrapText="1"/>
    </xf>
    <xf borderId="3" fillId="0" fontId="13" numFmtId="0" xfId="0" applyBorder="1" applyFont="1"/>
    <xf borderId="1" fillId="3" fontId="14" numFmtId="0" xfId="0" applyAlignment="1" applyBorder="1" applyFont="1">
      <alignment horizontal="left" shrinkToFit="0" vertical="center" wrapText="1"/>
    </xf>
    <xf borderId="1" fillId="3" fontId="14" numFmtId="0" xfId="0" applyAlignment="1" applyBorder="1" applyFont="1">
      <alignment horizontal="center" shrinkToFit="0" vertical="center" wrapText="1"/>
    </xf>
    <xf borderId="1" fillId="5" fontId="15" numFmtId="0" xfId="0" applyAlignment="1" applyBorder="1" applyFill="1" applyFont="1">
      <alignment readingOrder="0" shrinkToFit="0" vertical="top" wrapText="1"/>
    </xf>
    <xf borderId="1" fillId="5" fontId="15" numFmtId="0" xfId="0" applyAlignment="1" applyBorder="1" applyFont="1">
      <alignment shrinkToFit="0" vertical="top" wrapText="1"/>
    </xf>
    <xf borderId="1" fillId="6" fontId="15" numFmtId="0" xfId="0" applyAlignment="1" applyBorder="1" applyFill="1" applyFont="1">
      <alignment shrinkToFit="0" vertical="top" wrapText="1"/>
    </xf>
    <xf borderId="1" fillId="5" fontId="15" numFmtId="0" xfId="0" applyAlignment="1" applyBorder="1" applyFont="1">
      <alignment horizontal="center" readingOrder="0" shrinkToFit="0" vertical="top" wrapText="1"/>
    </xf>
    <xf borderId="1" fillId="5" fontId="15" numFmtId="0" xfId="0" applyAlignment="1" applyBorder="1" applyFont="1">
      <alignment horizontal="left" readingOrder="0" shrinkToFit="0" vertical="top" wrapText="1"/>
    </xf>
    <xf borderId="1" fillId="3" fontId="3" numFmtId="9" xfId="0" applyAlignment="1" applyBorder="1" applyFont="1" applyNumberFormat="1">
      <alignment horizontal="center" shrinkToFit="0" vertical="bottom" wrapText="0"/>
    </xf>
    <xf borderId="1" fillId="5" fontId="15" numFmtId="0" xfId="0" applyAlignment="1" applyBorder="1" applyFont="1">
      <alignment horizontal="center" shrinkToFit="0" vertical="top" wrapText="1"/>
    </xf>
    <xf borderId="1" fillId="5" fontId="15" numFmtId="9" xfId="0" applyAlignment="1" applyBorder="1" applyFont="1" applyNumberFormat="1">
      <alignment horizontal="center" shrinkToFit="0" vertical="top" wrapText="1"/>
    </xf>
    <xf borderId="1" fillId="5" fontId="15" numFmtId="0" xfId="0" applyAlignment="1" applyBorder="1" applyFont="1">
      <alignment horizontal="left" shrinkToFit="0" vertical="top" wrapText="1"/>
    </xf>
    <xf borderId="1" fillId="5" fontId="7" numFmtId="0" xfId="0" applyAlignment="1" applyBorder="1" applyFont="1">
      <alignment shrinkToFit="0" vertical="bottom" wrapText="0"/>
    </xf>
    <xf borderId="1" fillId="3" fontId="6" numFmtId="0" xfId="0" applyAlignment="1" applyBorder="1" applyFont="1">
      <alignment horizontal="center" shrinkToFit="0" vertical="bottom" wrapText="0"/>
    </xf>
    <xf borderId="1" fillId="7" fontId="16" numFmtId="0" xfId="0" applyAlignment="1" applyBorder="1" applyFill="1" applyFont="1">
      <alignment horizontal="center" shrinkToFit="0" vertical="center" wrapText="1"/>
    </xf>
    <xf borderId="1" fillId="7" fontId="9" numFmtId="0" xfId="0" applyAlignment="1" applyBorder="1" applyFont="1">
      <alignment horizontal="left" shrinkToFit="0" vertical="center" wrapText="1"/>
    </xf>
    <xf borderId="1" fillId="7" fontId="9" numFmtId="0" xfId="0" applyAlignment="1" applyBorder="1" applyFont="1">
      <alignment horizontal="center" shrinkToFit="0" vertical="center" wrapText="1"/>
    </xf>
    <xf borderId="1" fillId="7" fontId="9" numFmtId="0" xfId="0" applyAlignment="1" applyBorder="1" applyFont="1">
      <alignment shrinkToFit="0" vertical="center" wrapText="1"/>
    </xf>
    <xf borderId="1" fillId="7" fontId="1"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100.0"/>
    <col customWidth="1" min="4" max="26" width="8.71"/>
  </cols>
  <sheetData>
    <row r="1">
      <c r="A1" s="1"/>
      <c r="B1" s="1"/>
      <c r="C1" s="1"/>
    </row>
    <row r="2">
      <c r="A2" s="1"/>
      <c r="B2" s="2" t="s">
        <v>1</v>
      </c>
      <c r="C2" s="1"/>
    </row>
    <row r="3">
      <c r="A3" s="1"/>
      <c r="B3" s="4" t="s">
        <v>3</v>
      </c>
      <c r="C3" s="1"/>
    </row>
    <row r="4">
      <c r="A4" s="1"/>
      <c r="B4" s="1"/>
      <c r="C4" s="1"/>
    </row>
    <row r="5" ht="36.0" customHeight="1">
      <c r="A5" s="1"/>
      <c r="B5" s="6" t="s">
        <v>5</v>
      </c>
      <c r="C5" s="7" t="s">
        <v>6</v>
      </c>
    </row>
    <row r="6" ht="36.0" customHeight="1">
      <c r="A6" s="1"/>
      <c r="B6" s="6" t="s">
        <v>9</v>
      </c>
      <c r="C6" s="7" t="s">
        <v>10</v>
      </c>
    </row>
    <row r="7" ht="36.0" customHeight="1">
      <c r="A7" s="1"/>
      <c r="B7" s="6" t="s">
        <v>11</v>
      </c>
      <c r="C7" s="7" t="s">
        <v>12</v>
      </c>
    </row>
    <row r="8" ht="36.0" customHeight="1">
      <c r="A8" s="1"/>
      <c r="B8" s="6" t="s">
        <v>13</v>
      </c>
      <c r="C8" s="7" t="s">
        <v>14</v>
      </c>
    </row>
    <row r="9" ht="36.0" customHeight="1">
      <c r="A9" s="1"/>
      <c r="B9" s="6" t="s">
        <v>15</v>
      </c>
      <c r="C9" s="7" t="s">
        <v>16</v>
      </c>
    </row>
    <row r="10" ht="36.0" customHeight="1">
      <c r="A10" s="1"/>
      <c r="B10" s="6" t="s">
        <v>18</v>
      </c>
      <c r="C10" s="7" t="s">
        <v>19</v>
      </c>
    </row>
    <row r="11" ht="36.0" customHeight="1">
      <c r="A11" s="1"/>
      <c r="B11" s="6" t="s">
        <v>21</v>
      </c>
      <c r="C11" s="7" t="s">
        <v>22</v>
      </c>
    </row>
    <row r="12" ht="36.0" customHeight="1">
      <c r="A12" s="1"/>
      <c r="B12" s="6" t="s">
        <v>24</v>
      </c>
      <c r="C12" s="7" t="s">
        <v>26</v>
      </c>
    </row>
    <row r="13">
      <c r="A13" s="1"/>
      <c r="B13" s="1"/>
      <c r="C13" s="1"/>
    </row>
    <row r="14">
      <c r="A14" s="1"/>
      <c r="B14" s="10" t="s">
        <v>29</v>
      </c>
      <c r="C14" s="1"/>
    </row>
    <row r="15">
      <c r="A15" s="1"/>
      <c r="B15" s="1"/>
      <c r="C15" s="1"/>
    </row>
    <row r="16">
      <c r="A16" s="1"/>
      <c r="B16" s="11" t="s">
        <v>32</v>
      </c>
      <c r="C16" s="5" t="s">
        <v>34</v>
      </c>
    </row>
    <row r="17" ht="429.75" customHeight="1">
      <c r="A17" s="1"/>
      <c r="B17" s="13" t="s">
        <v>37</v>
      </c>
      <c r="C17" s="15"/>
    </row>
    <row r="18">
      <c r="A18" s="1"/>
      <c r="B18" s="1"/>
      <c r="C18" s="1"/>
    </row>
    <row r="19">
      <c r="A19" s="1"/>
      <c r="B19" s="10" t="s">
        <v>40</v>
      </c>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1">
    <mergeCell ref="B17:C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8.0"/>
    <col customWidth="1" min="2" max="3" width="15.0"/>
    <col customWidth="1" min="4" max="4" width="13.0"/>
    <col customWidth="1" min="5" max="5" width="44.0"/>
    <col customWidth="1" min="6" max="6" width="17.0"/>
    <col customWidth="1" min="7" max="7" width="20.0"/>
    <col customWidth="1" min="8" max="8" width="28.0"/>
    <col customWidth="1" min="9" max="9" width="13.0"/>
    <col customWidth="1" min="10" max="10" width="10.0"/>
    <col customWidth="1" min="11" max="12" width="32.0"/>
    <col customWidth="1" min="13" max="26" width="8.71"/>
  </cols>
  <sheetData>
    <row r="1" ht="21.75" customHeight="1">
      <c r="A1" s="3" t="s">
        <v>0</v>
      </c>
    </row>
    <row r="2" ht="33.75" customHeight="1">
      <c r="A2" s="8" t="s">
        <v>7</v>
      </c>
      <c r="B2" s="8" t="s">
        <v>17</v>
      </c>
      <c r="C2" s="8" t="s">
        <v>20</v>
      </c>
      <c r="D2" s="8" t="s">
        <v>23</v>
      </c>
      <c r="E2" s="8" t="s">
        <v>25</v>
      </c>
      <c r="F2" s="8" t="s">
        <v>27</v>
      </c>
      <c r="G2" s="8" t="s">
        <v>28</v>
      </c>
      <c r="H2" s="8" t="s">
        <v>30</v>
      </c>
      <c r="I2" s="8" t="s">
        <v>31</v>
      </c>
      <c r="J2" s="8" t="s">
        <v>33</v>
      </c>
      <c r="K2" s="8" t="s">
        <v>35</v>
      </c>
      <c r="L2" s="8" t="s">
        <v>36</v>
      </c>
    </row>
    <row r="3" ht="30.0" customHeight="1">
      <c r="A3" s="14">
        <v>4.0</v>
      </c>
      <c r="B3" s="16" t="s">
        <v>39</v>
      </c>
      <c r="C3" s="17" t="s">
        <v>41</v>
      </c>
      <c r="D3" s="17" t="s">
        <v>42</v>
      </c>
      <c r="E3" s="18" t="s">
        <v>44</v>
      </c>
      <c r="F3" s="19"/>
      <c r="G3" s="20"/>
      <c r="H3" s="19"/>
      <c r="I3" s="21" t="s">
        <v>46</v>
      </c>
      <c r="J3" s="21" t="s">
        <v>48</v>
      </c>
      <c r="K3" s="22" t="s">
        <v>49</v>
      </c>
      <c r="L3" s="22" t="s">
        <v>50</v>
      </c>
    </row>
    <row r="4" ht="30.0" customHeight="1">
      <c r="A4" s="17"/>
      <c r="B4" s="16"/>
      <c r="C4" s="17"/>
      <c r="D4" s="17"/>
      <c r="E4" s="19"/>
      <c r="F4" s="19"/>
      <c r="G4" s="20"/>
      <c r="H4" s="19"/>
      <c r="I4" s="24"/>
      <c r="J4" s="25"/>
      <c r="K4" s="26"/>
      <c r="L4" s="26"/>
    </row>
    <row r="5" ht="30.0" customHeight="1">
      <c r="A5" s="17"/>
      <c r="B5" s="16"/>
      <c r="C5" s="17"/>
      <c r="D5" s="17"/>
      <c r="E5" s="19"/>
      <c r="F5" s="19"/>
      <c r="G5" s="20"/>
      <c r="H5" s="19"/>
      <c r="I5" s="24"/>
      <c r="J5" s="25"/>
      <c r="K5" s="26"/>
      <c r="L5" s="26"/>
    </row>
    <row r="6" ht="30.0" customHeight="1">
      <c r="A6" s="14">
        <v>5.0</v>
      </c>
      <c r="B6" s="16" t="s">
        <v>56</v>
      </c>
      <c r="C6" s="17" t="s">
        <v>57</v>
      </c>
      <c r="D6" s="17" t="s">
        <v>42</v>
      </c>
      <c r="E6" s="19"/>
      <c r="F6" s="19"/>
      <c r="G6" s="20"/>
      <c r="H6" s="19"/>
      <c r="I6" s="24"/>
      <c r="J6" s="25"/>
      <c r="K6" s="26"/>
      <c r="L6" s="26"/>
    </row>
    <row r="7" ht="30.0" customHeight="1">
      <c r="A7" s="17"/>
      <c r="B7" s="16"/>
      <c r="C7" s="17"/>
      <c r="D7" s="17"/>
      <c r="E7" s="19"/>
      <c r="F7" s="19"/>
      <c r="G7" s="20"/>
      <c r="H7" s="19"/>
      <c r="I7" s="24"/>
      <c r="J7" s="25"/>
      <c r="K7" s="26"/>
      <c r="L7" s="26"/>
    </row>
    <row r="8" ht="30.0" customHeight="1">
      <c r="A8" s="17"/>
      <c r="B8" s="16"/>
      <c r="C8" s="17"/>
      <c r="D8" s="17"/>
      <c r="E8" s="19"/>
      <c r="F8" s="19"/>
      <c r="G8" s="20"/>
      <c r="H8" s="19"/>
      <c r="I8" s="24"/>
      <c r="J8" s="25"/>
      <c r="K8" s="26"/>
      <c r="L8" s="26"/>
    </row>
    <row r="9" ht="30.0" customHeight="1">
      <c r="A9" s="14">
        <v>6.0</v>
      </c>
      <c r="B9" s="16" t="s">
        <v>58</v>
      </c>
      <c r="C9" s="17" t="s">
        <v>60</v>
      </c>
      <c r="D9" s="17" t="s">
        <v>61</v>
      </c>
      <c r="E9" s="19"/>
      <c r="F9" s="19"/>
      <c r="G9" s="20"/>
      <c r="H9" s="19"/>
      <c r="I9" s="24"/>
      <c r="J9" s="25"/>
      <c r="K9" s="26"/>
      <c r="L9" s="26"/>
    </row>
    <row r="10" ht="30.0" customHeight="1">
      <c r="A10" s="17"/>
      <c r="B10" s="16"/>
      <c r="C10" s="17"/>
      <c r="D10" s="17"/>
      <c r="E10" s="19"/>
      <c r="F10" s="19"/>
      <c r="G10" s="20"/>
      <c r="H10" s="19"/>
      <c r="I10" s="24"/>
      <c r="J10" s="25"/>
      <c r="K10" s="26"/>
      <c r="L10" s="26"/>
    </row>
    <row r="11" ht="30.0" customHeight="1">
      <c r="A11" s="17"/>
      <c r="B11" s="16"/>
      <c r="C11" s="17"/>
      <c r="D11" s="17"/>
      <c r="E11" s="19"/>
      <c r="F11" s="19"/>
      <c r="G11" s="20"/>
      <c r="H11" s="19"/>
      <c r="I11" s="24"/>
      <c r="J11" s="25"/>
      <c r="K11" s="26"/>
      <c r="L11" s="26"/>
    </row>
    <row r="12" ht="30.0" customHeight="1">
      <c r="A12" s="14">
        <v>7.0</v>
      </c>
      <c r="B12" s="16" t="s">
        <v>62</v>
      </c>
      <c r="C12" s="17" t="s">
        <v>63</v>
      </c>
      <c r="D12" s="17" t="s">
        <v>61</v>
      </c>
      <c r="E12" s="19"/>
      <c r="F12" s="19"/>
      <c r="G12" s="20"/>
      <c r="H12" s="19"/>
      <c r="I12" s="24"/>
      <c r="J12" s="25"/>
      <c r="K12" s="26"/>
      <c r="L12" s="26"/>
    </row>
    <row r="13" ht="30.0" customHeight="1">
      <c r="A13" s="17"/>
      <c r="B13" s="16"/>
      <c r="C13" s="17"/>
      <c r="D13" s="17"/>
      <c r="E13" s="19"/>
      <c r="F13" s="19"/>
      <c r="G13" s="20"/>
      <c r="H13" s="19"/>
      <c r="I13" s="24"/>
      <c r="J13" s="25"/>
      <c r="K13" s="26"/>
      <c r="L13" s="26"/>
    </row>
    <row r="14" ht="30.0" customHeight="1">
      <c r="A14" s="17"/>
      <c r="B14" s="16"/>
      <c r="C14" s="17"/>
      <c r="D14" s="17"/>
      <c r="E14" s="19"/>
      <c r="F14" s="19"/>
      <c r="G14" s="20"/>
      <c r="H14" s="19"/>
      <c r="I14" s="24"/>
      <c r="J14" s="25"/>
      <c r="K14" s="26"/>
      <c r="L14" s="26"/>
    </row>
    <row r="15" ht="30.0" customHeight="1">
      <c r="A15" s="14">
        <v>8.0</v>
      </c>
      <c r="B15" s="16" t="s">
        <v>64</v>
      </c>
      <c r="C15" s="17" t="s">
        <v>65</v>
      </c>
      <c r="D15" s="17" t="s">
        <v>61</v>
      </c>
      <c r="E15" s="19"/>
      <c r="F15" s="19"/>
      <c r="G15" s="20"/>
      <c r="H15" s="19"/>
      <c r="I15" s="24"/>
      <c r="J15" s="25"/>
      <c r="K15" s="26"/>
      <c r="L15" s="26"/>
    </row>
    <row r="16" ht="30.0" customHeight="1">
      <c r="A16" s="17"/>
      <c r="B16" s="16"/>
      <c r="C16" s="17"/>
      <c r="D16" s="17"/>
      <c r="E16" s="19"/>
      <c r="F16" s="19"/>
      <c r="G16" s="20"/>
      <c r="H16" s="19"/>
      <c r="I16" s="24"/>
      <c r="J16" s="25"/>
      <c r="K16" s="26"/>
      <c r="L16" s="26"/>
    </row>
    <row r="17" ht="30.0" customHeight="1">
      <c r="A17" s="17"/>
      <c r="B17" s="16"/>
      <c r="C17" s="17"/>
      <c r="D17" s="17"/>
      <c r="E17" s="19"/>
      <c r="F17" s="19"/>
      <c r="G17" s="20"/>
      <c r="H17" s="19"/>
      <c r="I17" s="24"/>
      <c r="J17" s="25"/>
      <c r="K17" s="26"/>
      <c r="L17" s="26"/>
    </row>
    <row r="18" ht="30.0" customHeight="1">
      <c r="A18" s="14">
        <v>9.0</v>
      </c>
      <c r="B18" s="16" t="s">
        <v>66</v>
      </c>
      <c r="C18" s="17" t="s">
        <v>67</v>
      </c>
      <c r="D18" s="17" t="s">
        <v>61</v>
      </c>
      <c r="E18" s="19"/>
      <c r="F18" s="19"/>
      <c r="G18" s="20"/>
      <c r="H18" s="19"/>
      <c r="I18" s="24"/>
      <c r="J18" s="25"/>
      <c r="K18" s="26"/>
      <c r="L18" s="26"/>
    </row>
    <row r="19" ht="30.0" customHeight="1">
      <c r="A19" s="17"/>
      <c r="B19" s="16"/>
      <c r="C19" s="17"/>
      <c r="D19" s="17"/>
      <c r="E19" s="19"/>
      <c r="F19" s="19"/>
      <c r="G19" s="20"/>
      <c r="H19" s="19"/>
      <c r="I19" s="24"/>
      <c r="J19" s="25"/>
      <c r="K19" s="26"/>
      <c r="L19" s="26"/>
    </row>
    <row r="20" ht="30.0" customHeight="1">
      <c r="A20" s="17"/>
      <c r="B20" s="16"/>
      <c r="C20" s="17"/>
      <c r="D20" s="17"/>
      <c r="E20" s="19"/>
      <c r="F20" s="19"/>
      <c r="G20" s="20"/>
      <c r="H20" s="19"/>
      <c r="I20" s="24"/>
      <c r="J20" s="25"/>
      <c r="K20" s="26"/>
      <c r="L20" s="26"/>
    </row>
    <row r="21" ht="30.0" customHeight="1">
      <c r="A21" s="14">
        <v>10.0</v>
      </c>
      <c r="B21" s="16" t="s">
        <v>68</v>
      </c>
      <c r="C21" s="17" t="s">
        <v>69</v>
      </c>
      <c r="D21" s="17" t="s">
        <v>61</v>
      </c>
      <c r="E21" s="19"/>
      <c r="F21" s="19"/>
      <c r="G21" s="20"/>
      <c r="H21" s="19"/>
      <c r="I21" s="24"/>
      <c r="J21" s="25"/>
      <c r="K21" s="26"/>
      <c r="L21" s="26"/>
    </row>
    <row r="22" ht="30.0" customHeight="1">
      <c r="A22" s="17"/>
      <c r="B22" s="16"/>
      <c r="C22" s="17"/>
      <c r="D22" s="17"/>
      <c r="E22" s="19"/>
      <c r="F22" s="19"/>
      <c r="G22" s="20"/>
      <c r="H22" s="19"/>
      <c r="I22" s="24"/>
      <c r="J22" s="25"/>
      <c r="K22" s="26"/>
      <c r="L22" s="26"/>
    </row>
    <row r="23" ht="30.0" customHeight="1">
      <c r="A23" s="17"/>
      <c r="B23" s="16"/>
      <c r="C23" s="17"/>
      <c r="D23" s="17"/>
      <c r="E23" s="19"/>
      <c r="F23" s="19"/>
      <c r="G23" s="20"/>
      <c r="H23" s="19"/>
      <c r="I23" s="24"/>
      <c r="J23" s="25"/>
      <c r="K23" s="26"/>
      <c r="L23" s="26"/>
    </row>
    <row r="24" ht="30.0" customHeight="1">
      <c r="A24" s="14">
        <v>11.0</v>
      </c>
      <c r="B24" s="16" t="s">
        <v>70</v>
      </c>
      <c r="C24" s="17" t="s">
        <v>71</v>
      </c>
      <c r="D24" s="17" t="s">
        <v>61</v>
      </c>
      <c r="E24" s="19"/>
      <c r="F24" s="19"/>
      <c r="G24" s="20"/>
      <c r="H24" s="19"/>
      <c r="I24" s="24"/>
      <c r="J24" s="25"/>
      <c r="K24" s="26"/>
      <c r="L24" s="26"/>
    </row>
    <row r="25" ht="30.0" customHeight="1">
      <c r="A25" s="17"/>
      <c r="B25" s="16"/>
      <c r="C25" s="17"/>
      <c r="D25" s="17"/>
      <c r="E25" s="19"/>
      <c r="F25" s="19"/>
      <c r="G25" s="20"/>
      <c r="H25" s="19"/>
      <c r="I25" s="24"/>
      <c r="J25" s="25"/>
      <c r="K25" s="26"/>
      <c r="L25" s="26"/>
    </row>
    <row r="26" ht="30.0" customHeight="1">
      <c r="A26" s="17"/>
      <c r="B26" s="16"/>
      <c r="C26" s="17"/>
      <c r="D26" s="17"/>
      <c r="E26" s="19"/>
      <c r="F26" s="19"/>
      <c r="G26" s="20"/>
      <c r="H26" s="19"/>
      <c r="I26" s="24"/>
      <c r="J26" s="25"/>
      <c r="K26" s="26"/>
      <c r="L26" s="26"/>
    </row>
    <row r="27" ht="30.0" customHeight="1">
      <c r="A27" s="14">
        <v>12.0</v>
      </c>
      <c r="B27" s="16" t="s">
        <v>72</v>
      </c>
      <c r="C27" s="17" t="s">
        <v>73</v>
      </c>
      <c r="D27" s="17" t="s">
        <v>74</v>
      </c>
      <c r="E27" s="19"/>
      <c r="F27" s="19"/>
      <c r="G27" s="20"/>
      <c r="H27" s="19"/>
      <c r="I27" s="24"/>
      <c r="J27" s="25"/>
      <c r="K27" s="26"/>
      <c r="L27" s="26"/>
    </row>
    <row r="28" ht="30.0" customHeight="1">
      <c r="A28" s="17"/>
      <c r="B28" s="16"/>
      <c r="C28" s="17"/>
      <c r="D28" s="17"/>
      <c r="E28" s="19"/>
      <c r="F28" s="19"/>
      <c r="G28" s="20"/>
      <c r="H28" s="19"/>
      <c r="I28" s="24"/>
      <c r="J28" s="25"/>
      <c r="K28" s="26"/>
      <c r="L28" s="26"/>
    </row>
    <row r="29" ht="30.0" customHeight="1">
      <c r="A29" s="17"/>
      <c r="B29" s="16"/>
      <c r="C29" s="17"/>
      <c r="D29" s="17"/>
      <c r="E29" s="19"/>
      <c r="F29" s="19"/>
      <c r="G29" s="20"/>
      <c r="H29" s="19"/>
      <c r="I29" s="24"/>
      <c r="J29" s="25"/>
      <c r="K29" s="26"/>
      <c r="L29" s="26"/>
    </row>
    <row r="30" ht="30.0" customHeight="1">
      <c r="A30" s="29">
        <v>13.0</v>
      </c>
      <c r="B30" s="30" t="s">
        <v>75</v>
      </c>
      <c r="C30" s="31" t="s">
        <v>76</v>
      </c>
      <c r="D30" s="31" t="s">
        <v>77</v>
      </c>
      <c r="E30" s="32" t="s">
        <v>78</v>
      </c>
      <c r="F30" s="33"/>
      <c r="G30" s="33"/>
      <c r="H30" s="33"/>
      <c r="I30" s="33"/>
      <c r="J30" s="33"/>
      <c r="K30" s="33"/>
      <c r="L30" s="33"/>
    </row>
    <row r="31" ht="30.0" customHeight="1">
      <c r="A31" s="14">
        <v>14.0</v>
      </c>
      <c r="B31" s="16" t="s">
        <v>79</v>
      </c>
      <c r="C31" s="17" t="s">
        <v>80</v>
      </c>
      <c r="D31" s="17" t="s">
        <v>81</v>
      </c>
      <c r="E31" s="19"/>
      <c r="F31" s="19"/>
      <c r="G31" s="20"/>
      <c r="H31" s="19"/>
      <c r="I31" s="24"/>
      <c r="J31" s="25"/>
      <c r="K31" s="26"/>
      <c r="L31" s="26"/>
    </row>
    <row r="32" ht="30.0" customHeight="1">
      <c r="A32" s="17"/>
      <c r="B32" s="16"/>
      <c r="C32" s="17"/>
      <c r="D32" s="17"/>
      <c r="E32" s="19"/>
      <c r="F32" s="19"/>
      <c r="G32" s="20"/>
      <c r="H32" s="19"/>
      <c r="I32" s="24"/>
      <c r="J32" s="25"/>
      <c r="K32" s="26"/>
      <c r="L32" s="26"/>
    </row>
    <row r="33" ht="30.0" customHeight="1">
      <c r="A33" s="17"/>
      <c r="B33" s="16"/>
      <c r="C33" s="17"/>
      <c r="D33" s="17"/>
      <c r="E33" s="19"/>
      <c r="F33" s="19"/>
      <c r="G33" s="20"/>
      <c r="H33" s="19"/>
      <c r="I33" s="24"/>
      <c r="J33" s="25"/>
      <c r="K33" s="26"/>
      <c r="L33" s="26"/>
    </row>
    <row r="34" ht="30.0" customHeight="1">
      <c r="A34" s="14">
        <v>15.0</v>
      </c>
      <c r="B34" s="16" t="s">
        <v>82</v>
      </c>
      <c r="C34" s="17" t="s">
        <v>83</v>
      </c>
      <c r="D34" s="17" t="s">
        <v>81</v>
      </c>
      <c r="E34" s="19"/>
      <c r="F34" s="19"/>
      <c r="G34" s="20"/>
      <c r="H34" s="19"/>
      <c r="I34" s="24"/>
      <c r="J34" s="25"/>
      <c r="K34" s="26"/>
      <c r="L34" s="26"/>
    </row>
    <row r="35" ht="30.0" customHeight="1">
      <c r="A35" s="17"/>
      <c r="B35" s="16"/>
      <c r="C35" s="17"/>
      <c r="D35" s="17"/>
      <c r="E35" s="19"/>
      <c r="F35" s="19"/>
      <c r="G35" s="20"/>
      <c r="H35" s="19"/>
      <c r="I35" s="24"/>
      <c r="J35" s="25"/>
      <c r="K35" s="26"/>
      <c r="L35" s="26"/>
    </row>
    <row r="36" ht="30.0" customHeight="1">
      <c r="A36" s="17"/>
      <c r="B36" s="16"/>
      <c r="C36" s="17"/>
      <c r="D36" s="17"/>
      <c r="E36" s="19"/>
      <c r="F36" s="19"/>
      <c r="G36" s="20"/>
      <c r="H36" s="19"/>
      <c r="I36" s="24"/>
      <c r="J36" s="25"/>
      <c r="K36" s="26"/>
      <c r="L36" s="26"/>
    </row>
    <row r="37" ht="30.0" customHeight="1">
      <c r="A37" s="14">
        <v>16.0</v>
      </c>
      <c r="B37" s="16" t="s">
        <v>84</v>
      </c>
      <c r="C37" s="17" t="s">
        <v>85</v>
      </c>
      <c r="D37" s="17" t="s">
        <v>86</v>
      </c>
      <c r="E37" s="19"/>
      <c r="F37" s="19"/>
      <c r="G37" s="20"/>
      <c r="H37" s="19"/>
      <c r="I37" s="24"/>
      <c r="J37" s="25"/>
      <c r="K37" s="26"/>
      <c r="L37" s="26"/>
    </row>
    <row r="38" ht="30.0" customHeight="1">
      <c r="A38" s="17"/>
      <c r="B38" s="16"/>
      <c r="C38" s="17"/>
      <c r="D38" s="17"/>
      <c r="E38" s="19"/>
      <c r="F38" s="19"/>
      <c r="G38" s="20"/>
      <c r="H38" s="19"/>
      <c r="I38" s="24"/>
      <c r="J38" s="25"/>
      <c r="K38" s="26"/>
      <c r="L38" s="26"/>
    </row>
    <row r="39" ht="30.0" customHeight="1">
      <c r="A39" s="17"/>
      <c r="B39" s="16"/>
      <c r="C39" s="17"/>
      <c r="D39" s="17"/>
      <c r="E39" s="19"/>
      <c r="F39" s="19"/>
      <c r="G39" s="20"/>
      <c r="H39" s="19"/>
      <c r="I39" s="24"/>
      <c r="J39" s="25"/>
      <c r="K39" s="26"/>
      <c r="L39" s="26"/>
    </row>
    <row r="40" ht="15.75" customHeight="1">
      <c r="A40" s="1"/>
      <c r="B40" s="1"/>
      <c r="C40" s="1"/>
      <c r="D40" s="1"/>
      <c r="E40" s="1"/>
      <c r="F40" s="1"/>
      <c r="G40" s="1"/>
      <c r="H40" s="1"/>
      <c r="I40" s="1"/>
      <c r="J40" s="1"/>
      <c r="K40" s="1"/>
      <c r="L40" s="1"/>
    </row>
    <row r="41" ht="15.75" customHeight="1">
      <c r="A41" s="10" t="s">
        <v>87</v>
      </c>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autoFilter ref="$A$2:$L$39"/>
  <mergeCells count="2">
    <mergeCell ref="A1:M1"/>
    <mergeCell ref="A41:L41"/>
  </mergeCells>
  <dataValidations>
    <dataValidation type="decimal" allowBlank="1" sqref="J3:J39">
      <formula1>0.0</formula1>
      <formula2>1.0</formula2>
    </dataValidation>
    <dataValidation type="list" allowBlank="1" sqref="I3:I39">
      <formula1>"No iniciada,En proceso,Terminada,Aplazada"</formula1>
    </dataValidation>
    <dataValidation type="list" allowBlank="1" sqref="G3:G39">
      <formula1>"Ninguno,Tutorial,Revisión de avance,Fecha de entrega,Préstamo de equipo,Gestión de espacio o permiso,Apoyo de otro equipo,Contacto con usuarios"</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4" width="18.0"/>
    <col customWidth="1" min="5" max="26" width="8.71"/>
  </cols>
  <sheetData>
    <row r="1">
      <c r="A1" s="1"/>
      <c r="B1" s="1"/>
      <c r="C1" s="1"/>
      <c r="D1" s="1"/>
    </row>
    <row r="2">
      <c r="A2" s="1"/>
      <c r="B2" s="2" t="s">
        <v>2</v>
      </c>
      <c r="C2" s="1"/>
      <c r="D2" s="1"/>
    </row>
    <row r="3">
      <c r="A3" s="1"/>
      <c r="B3" s="5" t="s">
        <v>4</v>
      </c>
      <c r="C3" s="1"/>
      <c r="D3" s="1"/>
    </row>
    <row r="4">
      <c r="A4" s="1"/>
      <c r="B4" s="1"/>
      <c r="C4" s="1"/>
      <c r="D4" s="1"/>
    </row>
    <row r="5" ht="19.5" customHeight="1">
      <c r="A5" s="1"/>
      <c r="B5" s="9" t="s">
        <v>8</v>
      </c>
      <c r="C5" s="12">
        <f>COUNTA(Cronograma!E3:E39)-1</f>
        <v>1</v>
      </c>
      <c r="D5" s="1"/>
    </row>
    <row r="6" ht="19.5" customHeight="1">
      <c r="A6" s="1"/>
      <c r="B6" s="9" t="s">
        <v>38</v>
      </c>
      <c r="C6" s="12">
        <f>COUNTIF(Cronograma!I3:I39,"Terminada")</f>
        <v>0</v>
      </c>
      <c r="D6" s="1"/>
    </row>
    <row r="7" ht="19.5" customHeight="1">
      <c r="A7" s="1"/>
      <c r="B7" s="9" t="s">
        <v>43</v>
      </c>
      <c r="C7" s="12">
        <f>COUNTIF(Cronograma!I3:I39,"En proceso")</f>
        <v>1</v>
      </c>
      <c r="D7" s="1"/>
    </row>
    <row r="8" ht="19.5" customHeight="1">
      <c r="A8" s="1"/>
      <c r="B8" s="9" t="s">
        <v>45</v>
      </c>
      <c r="C8" s="12">
        <f>COUNTIF(Cronograma!I3:I39,"Aplazada")</f>
        <v>0</v>
      </c>
      <c r="D8" s="1"/>
    </row>
    <row r="9" ht="19.5" customHeight="1">
      <c r="A9" s="1"/>
      <c r="B9" s="9" t="s">
        <v>47</v>
      </c>
      <c r="C9" s="23">
        <f>IFERROR(AVERAGE(Cronograma!J3:J39),0)</f>
        <v>0</v>
      </c>
      <c r="D9" s="1"/>
    </row>
    <row r="10" ht="19.5" customHeight="1">
      <c r="A10" s="1"/>
      <c r="B10" s="9" t="s">
        <v>51</v>
      </c>
      <c r="C10" s="12">
        <f>COUNTIF(Cronograma!G3:G39,"&lt;&gt;Ninguno")-COUNTBLANK(Cronograma!G3:G39)</f>
        <v>0</v>
      </c>
      <c r="D10" s="1"/>
    </row>
    <row r="11" ht="19.5" customHeight="1">
      <c r="A11" s="1"/>
      <c r="B11" s="9" t="s">
        <v>52</v>
      </c>
      <c r="C11" s="12">
        <f>COUNTIF(Cronograma!G3:G39,"Tutorial")</f>
        <v>0</v>
      </c>
      <c r="D11" s="1"/>
    </row>
    <row r="12">
      <c r="A12" s="1"/>
      <c r="B12" s="1"/>
      <c r="C12" s="1"/>
      <c r="D12" s="1"/>
    </row>
    <row r="13">
      <c r="A13" s="1"/>
      <c r="B13" s="11" t="s">
        <v>53</v>
      </c>
      <c r="C13" s="1"/>
      <c r="D13" s="1"/>
    </row>
    <row r="14" ht="27.75" customHeight="1">
      <c r="A14" s="1"/>
      <c r="B14" s="8" t="s">
        <v>54</v>
      </c>
      <c r="C14" s="8" t="s">
        <v>55</v>
      </c>
      <c r="D14" s="8" t="s">
        <v>38</v>
      </c>
    </row>
    <row r="15">
      <c r="A15" s="1"/>
      <c r="B15" s="27"/>
      <c r="C15" s="28" t="str">
        <f>IF(B15="","",COUNTIF(Cronograma!F3:F39,B15))</f>
        <v/>
      </c>
      <c r="D15" s="28" t="str">
        <f>IF(B15="","",COUNTIFS(Cronograma!F3:F39,B15,Cronograma!I3:I39,"Terminada"))</f>
        <v/>
      </c>
    </row>
    <row r="16">
      <c r="A16" s="1"/>
      <c r="B16" s="27"/>
      <c r="C16" s="28" t="str">
        <f>IF(B16="","",COUNTIF(Cronograma!F3:F39,B16))</f>
        <v/>
      </c>
      <c r="D16" s="28" t="str">
        <f>IF(B16="","",COUNTIFS(Cronograma!F3:F39,B16,Cronograma!I3:I39,"Terminada"))</f>
        <v/>
      </c>
    </row>
    <row r="17">
      <c r="A17" s="1"/>
      <c r="B17" s="27"/>
      <c r="C17" s="28" t="str">
        <f>IF(B17="","",COUNTIF(Cronograma!F3:F39,B17))</f>
        <v/>
      </c>
      <c r="D17" s="28" t="str">
        <f>IF(B17="","",COUNTIFS(Cronograma!F3:F39,B17,Cronograma!I3:I39,"Terminada"))</f>
        <v/>
      </c>
    </row>
    <row r="18">
      <c r="A18" s="1"/>
      <c r="B18" s="27"/>
      <c r="C18" s="28" t="str">
        <f>IF(B18="","",COUNTIF(Cronograma!F3:F39,B18))</f>
        <v/>
      </c>
      <c r="D18" s="28" t="str">
        <f>IF(B18="","",COUNTIFS(Cronograma!F3:F39,B18,Cronograma!I3:I39,"Terminada"))</f>
        <v/>
      </c>
    </row>
    <row r="19">
      <c r="A19" s="1"/>
      <c r="B19" s="1"/>
      <c r="C19" s="1"/>
      <c r="D19" s="1"/>
    </row>
    <row r="20">
      <c r="A20" s="1"/>
      <c r="B20" s="10" t="s">
        <v>59</v>
      </c>
      <c r="C20" s="1"/>
      <c r="D20" s="1"/>
    </row>
    <row r="21" ht="15.75" customHeight="1">
      <c r="A21" s="1"/>
      <c r="B21" s="1"/>
      <c r="C21" s="1"/>
      <c r="D21" s="1"/>
    </row>
    <row r="22" ht="15.75" customHeight="1">
      <c r="A22" s="1"/>
      <c r="B22" s="1"/>
      <c r="C22" s="1"/>
      <c r="D22" s="1"/>
    </row>
    <row r="23" ht="15.75" customHeight="1">
      <c r="A23" s="1"/>
      <c r="B23" s="1"/>
      <c r="C23" s="1"/>
      <c r="D23" s="1"/>
    </row>
    <row r="24" ht="15.75" customHeight="1">
      <c r="A24" s="1"/>
      <c r="B24" s="1"/>
      <c r="C24" s="1"/>
      <c r="D24" s="1"/>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2026-08-05T09:12:27Z</dcterms:created>
  <dc:creator>openpyxl</dc:creator>
</cp:coreProperties>
</file>

<file path=docProps/custom.xml><?xml version="1.0" encoding="utf-8"?>
<Properties xmlns="http://schemas.openxmlformats.org/officeDocument/2006/custom-properties" xmlns:vt="http://schemas.openxmlformats.org/officeDocument/2006/docPropsVTypes"/>
</file>